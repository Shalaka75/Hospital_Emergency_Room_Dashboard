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cuments\Data Analysis\"/>
    </mc:Choice>
  </mc:AlternateContent>
  <xr:revisionPtr revIDLastSave="0" documentId="13_ncr:1_{395AAF6F-133D-4BCA-9CBF-3100EC71BD9C}" xr6:coauthVersionLast="47" xr6:coauthVersionMax="47" xr10:uidLastSave="{00000000-0000-0000-0000-000000000000}"/>
  <bookViews>
    <workbookView xWindow="-120" yWindow="-120" windowWidth="20730" windowHeight="11160" firstSheet="1" activeTab="4" xr2:uid="{F4493D9D-0E07-4F07-99AF-7E01AB9C0C6D}"/>
  </bookViews>
  <sheets>
    <sheet name="Pivot Report" sheetId="1" r:id="rId1"/>
    <sheet name="AverageWittime daily trend" sheetId="4" r:id="rId2"/>
    <sheet name="Satisfaction Score daily trend" sheetId="5" r:id="rId3"/>
    <sheet name="Daily ER Visits" sheetId="3" r:id="rId4"/>
    <sheet name="Dashboard" sheetId="2"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2a6ff74-9d04-4c23-ad18-c7375706e782" name="Hospital Emergency Room Data" connection="Query - Hospital Emergency Room Data"/>
          <x15:modelTable id="Calendar Table_53b6fb86-b615-4003-a528-dc1480afa5f8" name="Calendar Table" connection="Query - Calendar Table"/>
        </x15:modelTables>
        <x15:modelRelationships>
          <x15:modelRelationship fromTable="Hospital Emergency Room Data" fromColumn="Patient Admission Date" toTable="Calendar Table" toColumn="Date"/>
        </x15:modelRelationships>
        <x15:extLst>
          <ext xmlns:x16="http://schemas.microsoft.com/office/spreadsheetml/2014/11/main" uri="{9835A34E-60A6-4A7C-AAB8-D5F71C897F49}">
            <x16:modelTimeGroupings>
              <x16:modelTimeGrouping tableName="Calendar Table"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Lst>
</workbook>
</file>

<file path=xl/calcChain.xml><?xml version="1.0" encoding="utf-8"?>
<calcChain xmlns="http://schemas.openxmlformats.org/spreadsheetml/2006/main">
  <c r="A46" i="1" l="1"/>
  <c r="A45" i="1"/>
  <c r="B46" i="1"/>
  <c r="B45" i="1"/>
  <c r="C46" i="1"/>
  <c r="C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876D94-C9F1-494C-B275-DA12B0E82B4F}" name="Query - Calendar Table" description="Connection to the 'Calendar Table' query in the workbook." type="100" refreshedVersion="8" minRefreshableVersion="5">
    <extLst>
      <ext xmlns:x15="http://schemas.microsoft.com/office/spreadsheetml/2010/11/main" uri="{DE250136-89BD-433C-8126-D09CA5730AF9}">
        <x15:connection id="bdad7662-b485-4467-a53c-9a1673b9c4ad"/>
      </ext>
    </extLst>
  </connection>
  <connection id="2" xr16:uid="{F0B76E37-D309-471B-948A-25DA9214374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70cd178-70a7-4896-b0fb-d7af34a8762d"/>
      </ext>
    </extLst>
  </connection>
  <connection id="3" xr16:uid="{A098CFEA-0CAB-4097-8A51-FA8F1E16F9D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<sst xmlns="http://schemas.openxmlformats.org/spreadsheetml/2006/main" count="152" uniqueCount="71">
  <si>
    <t>Distinct Count of Patient Id</t>
  </si>
  <si>
    <t>No of Patient</t>
  </si>
  <si>
    <t>Average of Patient Waittime</t>
  </si>
  <si>
    <t>Average of Patient Satisfaction Score</t>
  </si>
  <si>
    <t>Grand Total</t>
  </si>
  <si>
    <t>Row Labels</t>
  </si>
  <si>
    <t xml:space="preserve">Daily Visited people </t>
  </si>
  <si>
    <t>Sum of Patient Satisfaction Score</t>
  </si>
  <si>
    <t>Not Admitted</t>
  </si>
  <si>
    <t>Admitted</t>
  </si>
  <si>
    <t>Daily Satisfactionary Scrore</t>
  </si>
  <si>
    <t>Count of Patient Admission Flag</t>
  </si>
  <si>
    <t>Count of Patient Admission Flag2</t>
  </si>
  <si>
    <t>No. of Patient</t>
  </si>
  <si>
    <t>% Status</t>
  </si>
  <si>
    <t>Admission Status</t>
  </si>
  <si>
    <t>Count of Patient Id</t>
  </si>
  <si>
    <t>0-9</t>
  </si>
  <si>
    <t>10-19</t>
  </si>
  <si>
    <t>20-29</t>
  </si>
  <si>
    <t>30-39</t>
  </si>
  <si>
    <t>40-49</t>
  </si>
  <si>
    <t>50-59</t>
  </si>
  <si>
    <t>60-69</t>
  </si>
  <si>
    <t>70-79</t>
  </si>
  <si>
    <t>Delay</t>
  </si>
  <si>
    <t>On Time</t>
  </si>
  <si>
    <t>Count of Patient Attend Status</t>
  </si>
  <si>
    <t>Female</t>
  </si>
  <si>
    <t>Male</t>
  </si>
  <si>
    <t>Cardiology</t>
  </si>
  <si>
    <t>Gastroenterology</t>
  </si>
  <si>
    <t>General Practice</t>
  </si>
  <si>
    <t>Neurology</t>
  </si>
  <si>
    <t>None</t>
  </si>
  <si>
    <t>Orthopedics</t>
  </si>
  <si>
    <t>Physiotherapy</t>
  </si>
  <si>
    <t>Renal</t>
  </si>
  <si>
    <t>Count of Department Referral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</si>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</sst>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1" tint="0.499984740745262"/>
        <bgColor indexed="64"/>
      </patternFill>
    </fill>
    <fill>
      <patternFill patternType="solid">
        <fgColor theme="3"/>
        <bgColor indexed="64"/>
      </patternFill>
    </fill>
  </fills>
  <borders count="1">
    <border>
      <left/>
      <right/>
      <top/>
      <bottom/>
      <diagonal/>
    </border>
  </borders>
  <cellStyleXfs count="1">
    <xf numFmtId="0" fontId="0" fillId="0" borderId="0"/>
  </cellStyleXfs>
  <cellXfs count="9">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3" borderId="0" xfId="0" applyFill="1"/>
    <xf numFmtId="0" fontId="1" fillId="3" borderId="0" xfId="0" applyFont="1" applyFill="1" applyAlignment="1">
      <alignment horizontal="center"/>
    </xf>
  </cellXfs>
  <cellStyles count="1">
    <cellStyle name="Normal" xfId="0" builtinId="0"/>
  </cellStyles>
  <dxfs count="23">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4"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font>
        <sz val="8"/>
        <color theme="0" tint="-0.499984740745262"/>
        <name val="Calibri"/>
        <family val="2"/>
        <scheme val="minor"/>
      </font>
      <fill>
        <patternFill>
          <bgColor theme="5"/>
        </patternFill>
      </fill>
      <border>
        <bottom style="thin">
          <color theme="4"/>
        </bottom>
        <vertical/>
        <horizontal/>
      </border>
    </dxf>
    <dxf>
      <font>
        <b/>
        <i val="0"/>
        <sz val="8"/>
        <color theme="1"/>
      </font>
      <fill>
        <patternFill patternType="none">
          <bgColor auto="1"/>
        </patternFill>
      </fill>
      <border diagonalUp="0" diagonalDown="0">
        <left/>
        <right/>
        <top/>
        <bottom/>
        <vertical/>
        <horizontal/>
      </border>
    </dxf>
  </dxfs>
  <tableStyles count="1" defaultTableStyle="TableStyleMedium2" defaultPivotStyle="PivotStyleLight16">
    <tableStyle name="myStyle" pivot="0" table="0" count="10" xr9:uid="{98548AF4-C3DA-4527-A3B3-DC82C4187A8B}">
      <tableStyleElement type="wholeTable" dxfId="22"/>
      <tableStyleElement type="headerRow" dxfId="21"/>
    </tableStyle>
  </tableStyles>
  <colors>
    <mruColors>
      <color rgb="FFFF9900"/>
      <color rgb="FF9900CC"/>
      <color rgb="FF0099CC"/>
      <color rgb="FFCC00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sz val="8"/>
            <color rgb="FF002060"/>
            <name val="Calibri"/>
            <family val="2"/>
            <scheme val="minor"/>
          </font>
          <fill>
            <patternFill patternType="solid">
              <fgColor theme="4"/>
              <bgColor theme="4" tint="-0.24994659260841701"/>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8"/>
            <color theme="0" tint="-0.34998626667073579"/>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[Hospital_emergency.xlsx]Pivot Report!PivotTable7</c:name>
    <c:fmtId val="4"/>
  </c:pivotSource>
  <c:chart>
    <c:autoTitleDeleted val="0"/>
    <c:pivotFmts>
      <c:pivotFmt>
        <c:idx val="0"/>
        <c:spPr>
          <a:solidFill>
            <a:srgbClr val="002060"/>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7.8896716857761208E-3"/>
          <c:y val="0"/>
          <c:w val="0.99211045364891515"/>
          <c:h val="1"/>
        </c:manualLayout>
      </c:layout>
      <c:barChart>
        <c:barDir val="bar"/>
        <c:grouping val="clustered"/>
        <c:varyColors val="0"/>
        <c:ser>
          <c:idx val="0"/>
          <c:order val="0"/>
          <c:tx>
            <c:strRef>
              <c:f>'Pivot Report'!$B$39</c:f>
              <c:strCache>
                <c:ptCount val="1"/>
                <c:pt idx="0">
                  <c:v>Count of Patient Admission Flag</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0-7C6D-441E-A245-4F9BAA8E466A}"/>
              </c:ext>
            </c:extLst>
          </c:dPt>
          <c:cat>
            <c:strRef>
              <c:f>'Pivot Report'!$A$40:$A$42</c:f>
              <c:strCache>
                <c:ptCount val="2"/>
                <c:pt idx="0">
                  <c:v>Admitted</c:v>
                </c:pt>
                <c:pt idx="1">
                  <c:v>Not Admitted</c:v>
                </c:pt>
              </c:strCache>
            </c:strRef>
          </c:cat>
          <c:val>
            <c:numRef>
              <c:f>'Pivot Report'!$B$40:$B$42</c:f>
              <c:numCache>
                <c:formatCode>0</c:formatCode>
                <c:ptCount val="2"/>
                <c:pt idx="0">
                  <c:v>269</c:v>
                </c:pt>
                <c:pt idx="1">
                  <c:v>244</c:v>
                </c:pt>
              </c:numCache>
            </c:numRef>
          </c:val>
          <c:extLst>
            <c:ext xmlns:c16="http://schemas.microsoft.com/office/drawing/2014/chart" uri="{C3380CC4-5D6E-409C-BE32-E72D297353CC}">
              <c16:uniqueId val="{00000013-4F45-4ECF-ACBD-315B5DB54859}"/>
            </c:ext>
          </c:extLst>
        </c:ser>
        <c:ser>
          <c:idx val="1"/>
          <c:order val="1"/>
          <c:tx>
            <c:strRef>
              <c:f>'Pivot Report'!$C$39</c:f>
              <c:strCache>
                <c:ptCount val="1"/>
                <c:pt idx="0">
                  <c:v>Count of Patient Admission Flag2</c:v>
                </c:pt>
              </c:strCache>
            </c:strRef>
          </c:tx>
          <c:spPr>
            <a:solidFill>
              <a:schemeClr val="accent2"/>
            </a:solidFill>
            <a:ln>
              <a:noFill/>
            </a:ln>
            <a:effectLst/>
          </c:spPr>
          <c:invertIfNegative val="0"/>
          <c:cat>
            <c:strRef>
              <c:f>'Pivot Report'!$A$40:$A$42</c:f>
              <c:strCache>
                <c:ptCount val="2"/>
                <c:pt idx="0">
                  <c:v>Admitted</c:v>
                </c:pt>
                <c:pt idx="1">
                  <c:v>Not Admitted</c:v>
                </c:pt>
              </c:strCache>
            </c:strRef>
          </c:cat>
          <c:val>
            <c:numRef>
              <c:f>'Pivot Report'!$C$40:$C$42</c:f>
              <c:numCache>
                <c:formatCode>0.00%</c:formatCode>
                <c:ptCount val="2"/>
                <c:pt idx="0">
                  <c:v>0.52436647173489281</c:v>
                </c:pt>
                <c:pt idx="1">
                  <c:v>0.47563352826510719</c:v>
                </c:pt>
              </c:numCache>
            </c:numRef>
          </c:val>
          <c:extLst>
            <c:ext xmlns:c16="http://schemas.microsoft.com/office/drawing/2014/chart" uri="{C3380CC4-5D6E-409C-BE32-E72D297353CC}">
              <c16:uniqueId val="{00000014-4F45-4ECF-ACBD-315B5DB54859}"/>
            </c:ext>
          </c:extLst>
        </c:ser>
        <c:dLbls>
          <c:showLegendKey val="0"/>
          <c:showVal val="0"/>
          <c:showCatName val="0"/>
          <c:showSerName val="0"/>
          <c:showPercent val="0"/>
          <c:showBubbleSize val="0"/>
        </c:dLbls>
        <c:gapWidth val="0"/>
        <c:axId val="414867920"/>
        <c:axId val="414863240"/>
      </c:barChart>
      <c:catAx>
        <c:axId val="414867920"/>
        <c:scaling>
          <c:orientation val="minMax"/>
        </c:scaling>
        <c:delete val="1"/>
        <c:axPos val="l"/>
        <c:numFmt formatCode="General" sourceLinked="1"/>
        <c:majorTickMark val="none"/>
        <c:minorTickMark val="none"/>
        <c:tickLblPos val="nextTo"/>
        <c:crossAx val="414863240"/>
        <c:crosses val="autoZero"/>
        <c:auto val="1"/>
        <c:lblAlgn val="ctr"/>
        <c:lblOffset val="100"/>
        <c:noMultiLvlLbl val="0"/>
      </c:catAx>
      <c:valAx>
        <c:axId val="414863240"/>
        <c:scaling>
          <c:orientation val="minMax"/>
        </c:scaling>
        <c:delete val="1"/>
        <c:axPos val="b"/>
        <c:numFmt formatCode="0" sourceLinked="1"/>
        <c:majorTickMark val="none"/>
        <c:minorTickMark val="none"/>
        <c:tickLblPos val="nextTo"/>
        <c:crossAx val="41486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[Hospital_emergency.xlsx]Pivot Report!PivotTable5</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021063822718362E-2"/>
          <c:y val="9.2592114510276369E-3"/>
          <c:w val="0.98888888888888893"/>
          <c:h val="0.9907407407407407"/>
        </c:manualLayout>
      </c:layout>
      <c:areaChart>
        <c:grouping val="standard"/>
        <c:varyColors val="0"/>
        <c:ser>
          <c:idx val="0"/>
          <c:order val="0"/>
          <c:tx>
            <c:strRef>
              <c:f>'Pivot Report'!$H$7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Report'!$G$8:$G$39</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Report'!$H$8:$H$39</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8-AE9D-4A04-8555-FACA130A914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38043648"/>
        <c:axId val="536907856"/>
      </c:areaChart>
      <c:catAx>
        <c:axId val="53804364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36907856"/>
        <c:crosses val="autoZero"/>
        <c:auto val="1"/>
        <c:lblAlgn val="ctr"/>
        <c:lblOffset val="100"/>
        <c:noMultiLvlLbl val="0"/>
      </c:catAx>
      <c:valAx>
        <c:axId val="536907856"/>
        <c:scaling>
          <c:orientation val="minMax"/>
        </c:scaling>
        <c:delete val="1"/>
        <c:axPos val="l"/>
        <c:numFmt formatCode="0.00" sourceLinked="1"/>
        <c:majorTickMark val="out"/>
        <c:minorTickMark val="none"/>
        <c:tickLblPos val="nextTo"/>
        <c:crossAx val="5380436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[Hospital_emergency.xlsx]Pivot Report!PivotTable6</c:name>
    <c:fmtId val="3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334591312180652E-2"/>
          <c:y val="4.9870338064029421E-2"/>
          <c:w val="0.96666666666666667"/>
          <c:h val="0.81743839311752697"/>
        </c:manualLayout>
      </c:layout>
      <c:areaChart>
        <c:grouping val="standard"/>
        <c:varyColors val="0"/>
        <c:ser>
          <c:idx val="0"/>
          <c:order val="0"/>
          <c:tx>
            <c:strRef>
              <c:f>'Pivot Report'!$K$6</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Report'!$J$7:$J$38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Report'!$K$7:$K$38</c:f>
              <c:numCache>
                <c:formatCode>0</c:formatCode>
                <c:ptCount val="31"/>
                <c:pt idx="0">
                  <c:v>40</c:v>
                </c:pt>
                <c:pt idx="1">
                  <c:v>21</c:v>
                </c:pt>
                <c:pt idx="2">
                  <c:v>9</c:v>
                </c:pt>
                <c:pt idx="3">
                  <c:v>24</c:v>
                </c:pt>
                <c:pt idx="4">
                  <c:v>31</c:v>
                </c:pt>
                <c:pt idx="5">
                  <c:v>31</c:v>
                </c:pt>
                <c:pt idx="6">
                  <c:v>15</c:v>
                </c:pt>
                <c:pt idx="7">
                  <c:v>39</c:v>
                </c:pt>
                <c:pt idx="8">
                  <c:v>6</c:v>
                </c:pt>
                <c:pt idx="9">
                  <c:v>9</c:v>
                </c:pt>
                <c:pt idx="10">
                  <c:v>18</c:v>
                </c:pt>
                <c:pt idx="11">
                  <c:v>26</c:v>
                </c:pt>
                <c:pt idx="12">
                  <c:v>22</c:v>
                </c:pt>
                <c:pt idx="13">
                  <c:v>38</c:v>
                </c:pt>
                <c:pt idx="14">
                  <c:v>44</c:v>
                </c:pt>
                <c:pt idx="15">
                  <c:v>35</c:v>
                </c:pt>
                <c:pt idx="16">
                  <c:v>40</c:v>
                </c:pt>
                <c:pt idx="17">
                  <c:v>16</c:v>
                </c:pt>
                <c:pt idx="18">
                  <c:v>16</c:v>
                </c:pt>
                <c:pt idx="19">
                  <c:v>39</c:v>
                </c:pt>
                <c:pt idx="20">
                  <c:v>5</c:v>
                </c:pt>
                <c:pt idx="21">
                  <c:v>32</c:v>
                </c:pt>
                <c:pt idx="22">
                  <c:v>16</c:v>
                </c:pt>
                <c:pt idx="23">
                  <c:v>15</c:v>
                </c:pt>
                <c:pt idx="24">
                  <c:v>19</c:v>
                </c:pt>
                <c:pt idx="25">
                  <c:v>10</c:v>
                </c:pt>
                <c:pt idx="26">
                  <c:v>35</c:v>
                </c:pt>
                <c:pt idx="27">
                  <c:v>32</c:v>
                </c:pt>
                <c:pt idx="28">
                  <c:v>24</c:v>
                </c:pt>
                <c:pt idx="29">
                  <c:v>15</c:v>
                </c:pt>
                <c:pt idx="30">
                  <c:v>7</c:v>
                </c:pt>
              </c:numCache>
            </c:numRef>
          </c:val>
          <c:extLst>
            <c:ext xmlns:c16="http://schemas.microsoft.com/office/drawing/2014/chart" uri="{C3380CC4-5D6E-409C-BE32-E72D297353CC}">
              <c16:uniqueId val="{00000008-F046-4595-8485-00D1627E97C1}"/>
            </c:ext>
          </c:extLst>
        </c:ser>
        <c:dLbls>
          <c:showLegendKey val="0"/>
          <c:showVal val="0"/>
          <c:showCatName val="0"/>
          <c:showSerName val="0"/>
          <c:showPercent val="0"/>
          <c:showBubbleSize val="0"/>
        </c:dLbls>
        <c:axId val="541528176"/>
        <c:axId val="541529976"/>
      </c:areaChart>
      <c:catAx>
        <c:axId val="5415281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41529976"/>
        <c:crosses val="autoZero"/>
        <c:auto val="1"/>
        <c:lblAlgn val="ctr"/>
        <c:lblOffset val="100"/>
        <c:noMultiLvlLbl val="0"/>
      </c:catAx>
      <c:valAx>
        <c:axId val="54152997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415281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[Hospital_emergency.xlsx]Pivot Report!PivotTable4</c:name>
    <c:fmtId val="2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spPr>
            <a:noFill/>
            <a:ln>
              <a:noFill/>
            </a:ln>
            <a:effectLst/>
          </c:spPr>
          <c:txPr>
            <a:bodyPr wrap="square" lIns="38100" tIns="19050" rIns="38100" bIns="19050" anchor="ctr" anchorCtr="0">
              <a:spAutoFit/>
            </a:bodyPr>
            <a:lstStyle/>
            <a:p>
              <a:pPr>
                <a:defRPr>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820405579383878E-2"/>
          <c:y val="5.6830620655090799E-2"/>
          <c:w val="0.92165916252338376"/>
          <c:h val="0.79104093319252466"/>
        </c:manualLayout>
      </c:layout>
      <c:areaChart>
        <c:grouping val="standard"/>
        <c:varyColors val="0"/>
        <c:ser>
          <c:idx val="0"/>
          <c:order val="0"/>
          <c:tx>
            <c:strRef>
              <c:f>'Pivot Report'!$E$7</c:f>
              <c:strCache>
                <c:ptCount val="1"/>
                <c:pt idx="0">
                  <c:v>Total</c:v>
                </c:pt>
              </c:strCache>
            </c:strRef>
          </c:tx>
          <c:spPr>
            <a:solidFill>
              <a:schemeClr val="accent1"/>
            </a:solidFill>
            <a:ln w="25400">
              <a:noFill/>
            </a:ln>
            <a:effectLst/>
          </c:spPr>
          <c:dLbls>
            <c:spPr>
              <a:noFill/>
              <a:ln>
                <a:noFill/>
              </a:ln>
              <a:effectLst/>
            </c:spPr>
            <c:txPr>
              <a:bodyPr wrap="square" lIns="38100" tIns="19050" rIns="38100" bIns="19050" anchor="ctr" anchorCtr="0">
                <a:spAutoFit/>
              </a:bodyPr>
              <a:lstStyle/>
              <a:p>
                <a:pPr>
                  <a:defRPr>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Report'!$D$8:$D$39</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Report'!$E$8:$E$39</c:f>
              <c:numCache>
                <c:formatCode>0</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8-7C27-46AA-A758-EA31860797A8}"/>
            </c:ext>
          </c:extLst>
        </c:ser>
        <c:dLbls>
          <c:showLegendKey val="0"/>
          <c:showVal val="0"/>
          <c:showCatName val="0"/>
          <c:showSerName val="0"/>
          <c:showPercent val="0"/>
          <c:showBubbleSize val="0"/>
        </c:dLbls>
        <c:axId val="352059144"/>
        <c:axId val="690787416"/>
      </c:areaChart>
      <c:catAx>
        <c:axId val="352059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787416"/>
        <c:crosses val="autoZero"/>
        <c:auto val="1"/>
        <c:lblAlgn val="ctr"/>
        <c:lblOffset val="100"/>
        <c:noMultiLvlLbl val="0"/>
      </c:catAx>
      <c:valAx>
        <c:axId val="690787416"/>
        <c:scaling>
          <c:orientation val="minMax"/>
        </c:scaling>
        <c:delete val="1"/>
        <c:axPos val="l"/>
        <c:numFmt formatCode="0" sourceLinked="1"/>
        <c:majorTickMark val="none"/>
        <c:minorTickMark val="none"/>
        <c:tickLblPos val="nextTo"/>
        <c:crossAx val="352059144"/>
        <c:crosses val="autoZero"/>
        <c:crossBetween val="midCat"/>
      </c:valAx>
      <c:spPr>
        <a:noFill/>
        <a:ln>
          <a:noFill/>
        </a:ln>
      </c:spPr>
    </c:plotArea>
    <c:plotVisOnly val="1"/>
    <c:dispBlanksAs val="zero"/>
    <c:showDLblsOverMax val="0"/>
    <c:extLst/>
  </c:chart>
  <c:spPr>
    <a:solidFill>
      <a:schemeClr val="bg1">
        <a:lumMod val="95000"/>
      </a:schemeClr>
    </a:solid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[Hospital_emergency.xlsx]Pivot Report!PivotTable4</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2"/>
          </a:solidFill>
          <a:ln w="25400">
            <a:noFill/>
          </a:ln>
          <a:effectLst/>
          <a:scene3d>
            <a:camera prst="orthographicFront"/>
            <a:lightRig rig="threePt" dir="t"/>
          </a:scene3d>
          <a:sp3d>
            <a:bevelT w="6350"/>
          </a:sp3d>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
          <c:y val="0"/>
          <c:w val="0.99444064854014047"/>
          <c:h val="1"/>
        </c:manualLayout>
      </c:layout>
      <c:areaChart>
        <c:grouping val="standard"/>
        <c:varyColors val="0"/>
        <c:ser>
          <c:idx val="0"/>
          <c:order val="0"/>
          <c:tx>
            <c:strRef>
              <c:f>'Pivot Report'!$E$7</c:f>
              <c:strCache>
                <c:ptCount val="1"/>
                <c:pt idx="0">
                  <c:v>Total</c:v>
                </c:pt>
              </c:strCache>
            </c:strRef>
          </c:tx>
          <c:spPr>
            <a:solidFill>
              <a:schemeClr val="accent2"/>
            </a:solidFill>
            <a:ln w="25400">
              <a:noFill/>
            </a:ln>
            <a:effectLst/>
            <a:scene3d>
              <a:camera prst="orthographicFront"/>
              <a:lightRig rig="threePt" dir="t"/>
            </a:scene3d>
            <a:sp3d>
              <a:bevelT w="6350"/>
            </a:sp3d>
          </c:spPr>
          <c:cat>
            <c:strRef>
              <c:f>'Pivot Report'!$D$8:$D$39</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Report'!$E$8:$E$39</c:f>
              <c:numCache>
                <c:formatCode>0</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9-02D5-4B8E-9D44-1F0C9CEBCB38}"/>
            </c:ext>
          </c:extLst>
        </c:ser>
        <c:dLbls>
          <c:showLegendKey val="0"/>
          <c:showVal val="0"/>
          <c:showCatName val="0"/>
          <c:showSerName val="0"/>
          <c:showPercent val="0"/>
          <c:showBubbleSize val="0"/>
        </c:dLbls>
        <c:axId val="352059144"/>
        <c:axId val="690787416"/>
      </c:areaChart>
      <c:catAx>
        <c:axId val="352059144"/>
        <c:scaling>
          <c:orientation val="minMax"/>
        </c:scaling>
        <c:delete val="1"/>
        <c:axPos val="b"/>
        <c:numFmt formatCode="General" sourceLinked="1"/>
        <c:majorTickMark val="out"/>
        <c:minorTickMark val="none"/>
        <c:tickLblPos val="nextTo"/>
        <c:crossAx val="690787416"/>
        <c:crosses val="autoZero"/>
        <c:auto val="1"/>
        <c:lblAlgn val="ctr"/>
        <c:lblOffset val="100"/>
        <c:noMultiLvlLbl val="0"/>
      </c:catAx>
      <c:valAx>
        <c:axId val="690787416"/>
        <c:scaling>
          <c:orientation val="minMax"/>
        </c:scaling>
        <c:delete val="1"/>
        <c:axPos val="l"/>
        <c:numFmt formatCode="0" sourceLinked="1"/>
        <c:majorTickMark val="out"/>
        <c:minorTickMark val="none"/>
        <c:tickLblPos val="nextTo"/>
        <c:crossAx val="352059144"/>
        <c:crosses val="autoZero"/>
        <c:crossBetween val="midCat"/>
      </c:valAx>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[Hospital_emergency.xlsx]Pivot Report!PivotTable5</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33333333333332E-3"/>
          <c:y val="9.2592592592592587E-3"/>
          <c:w val="0.98888888888888893"/>
          <c:h val="0.9907407407407407"/>
        </c:manualLayout>
      </c:layout>
      <c:areaChart>
        <c:grouping val="standard"/>
        <c:varyColors val="0"/>
        <c:ser>
          <c:idx val="0"/>
          <c:order val="0"/>
          <c:tx>
            <c:strRef>
              <c:f>'Pivot Report'!$H$7</c:f>
              <c:strCache>
                <c:ptCount val="1"/>
                <c:pt idx="0">
                  <c:v>Total</c:v>
                </c:pt>
              </c:strCache>
            </c:strRef>
          </c:tx>
          <c:spPr>
            <a:solidFill>
              <a:schemeClr val="accent2"/>
            </a:solidFill>
            <a:ln w="25400">
              <a:noFill/>
            </a:ln>
            <a:effectLst/>
          </c:spPr>
          <c:cat>
            <c:strRef>
              <c:f>'Pivot Report'!$G$8:$G$39</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Report'!$H$8:$H$39</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9-143B-46F1-86BB-7306FF27DAF5}"/>
            </c:ext>
          </c:extLst>
        </c:ser>
        <c:dLbls>
          <c:showLegendKey val="0"/>
          <c:showVal val="0"/>
          <c:showCatName val="0"/>
          <c:showSerName val="0"/>
          <c:showPercent val="0"/>
          <c:showBubbleSize val="0"/>
        </c:dLbls>
        <c:axId val="538043648"/>
        <c:axId val="536907856"/>
      </c:areaChart>
      <c:catAx>
        <c:axId val="538043648"/>
        <c:scaling>
          <c:orientation val="minMax"/>
        </c:scaling>
        <c:delete val="1"/>
        <c:axPos val="b"/>
        <c:numFmt formatCode="General" sourceLinked="1"/>
        <c:majorTickMark val="out"/>
        <c:minorTickMark val="none"/>
        <c:tickLblPos val="nextTo"/>
        <c:crossAx val="536907856"/>
        <c:crosses val="autoZero"/>
        <c:auto val="1"/>
        <c:lblAlgn val="ctr"/>
        <c:lblOffset val="100"/>
        <c:noMultiLvlLbl val="0"/>
      </c:catAx>
      <c:valAx>
        <c:axId val="536907856"/>
        <c:scaling>
          <c:orientation val="minMax"/>
        </c:scaling>
        <c:delete val="1"/>
        <c:axPos val="l"/>
        <c:numFmt formatCode="0.00" sourceLinked="1"/>
        <c:majorTickMark val="none"/>
        <c:minorTickMark val="none"/>
        <c:tickLblPos val="nextTo"/>
        <c:crossAx val="5380436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[Hospital_emergency.xlsx]Pivot Report!PivotTable6</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9E-3"/>
          <c:y val="4.6296296296296294E-2"/>
          <c:w val="0.97777777777777775"/>
          <c:h val="0.93518518518518523"/>
        </c:manualLayout>
      </c:layout>
      <c:areaChart>
        <c:grouping val="standard"/>
        <c:varyColors val="0"/>
        <c:ser>
          <c:idx val="0"/>
          <c:order val="0"/>
          <c:tx>
            <c:strRef>
              <c:f>'Pivot Report'!$K$6</c:f>
              <c:strCache>
                <c:ptCount val="1"/>
                <c:pt idx="0">
                  <c:v>Total</c:v>
                </c:pt>
              </c:strCache>
            </c:strRef>
          </c:tx>
          <c:spPr>
            <a:solidFill>
              <a:schemeClr val="accent2"/>
            </a:solidFill>
            <a:ln w="25400">
              <a:noFill/>
            </a:ln>
            <a:effectLst/>
          </c:spPr>
          <c:cat>
            <c:strRef>
              <c:f>'Pivot Report'!$J$7:$J$38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Report'!$K$7:$K$38</c:f>
              <c:numCache>
                <c:formatCode>0</c:formatCode>
                <c:ptCount val="31"/>
                <c:pt idx="0">
                  <c:v>40</c:v>
                </c:pt>
                <c:pt idx="1">
                  <c:v>21</c:v>
                </c:pt>
                <c:pt idx="2">
                  <c:v>9</c:v>
                </c:pt>
                <c:pt idx="3">
                  <c:v>24</c:v>
                </c:pt>
                <c:pt idx="4">
                  <c:v>31</c:v>
                </c:pt>
                <c:pt idx="5">
                  <c:v>31</c:v>
                </c:pt>
                <c:pt idx="6">
                  <c:v>15</c:v>
                </c:pt>
                <c:pt idx="7">
                  <c:v>39</c:v>
                </c:pt>
                <c:pt idx="8">
                  <c:v>6</c:v>
                </c:pt>
                <c:pt idx="9">
                  <c:v>9</c:v>
                </c:pt>
                <c:pt idx="10">
                  <c:v>18</c:v>
                </c:pt>
                <c:pt idx="11">
                  <c:v>26</c:v>
                </c:pt>
                <c:pt idx="12">
                  <c:v>22</c:v>
                </c:pt>
                <c:pt idx="13">
                  <c:v>38</c:v>
                </c:pt>
                <c:pt idx="14">
                  <c:v>44</c:v>
                </c:pt>
                <c:pt idx="15">
                  <c:v>35</c:v>
                </c:pt>
                <c:pt idx="16">
                  <c:v>40</c:v>
                </c:pt>
                <c:pt idx="17">
                  <c:v>16</c:v>
                </c:pt>
                <c:pt idx="18">
                  <c:v>16</c:v>
                </c:pt>
                <c:pt idx="19">
                  <c:v>39</c:v>
                </c:pt>
                <c:pt idx="20">
                  <c:v>5</c:v>
                </c:pt>
                <c:pt idx="21">
                  <c:v>32</c:v>
                </c:pt>
                <c:pt idx="22">
                  <c:v>16</c:v>
                </c:pt>
                <c:pt idx="23">
                  <c:v>15</c:v>
                </c:pt>
                <c:pt idx="24">
                  <c:v>19</c:v>
                </c:pt>
                <c:pt idx="25">
                  <c:v>10</c:v>
                </c:pt>
                <c:pt idx="26">
                  <c:v>35</c:v>
                </c:pt>
                <c:pt idx="27">
                  <c:v>32</c:v>
                </c:pt>
                <c:pt idx="28">
                  <c:v>24</c:v>
                </c:pt>
                <c:pt idx="29">
                  <c:v>15</c:v>
                </c:pt>
                <c:pt idx="30">
                  <c:v>7</c:v>
                </c:pt>
              </c:numCache>
            </c:numRef>
          </c:val>
          <c:extLst>
            <c:ext xmlns:c16="http://schemas.microsoft.com/office/drawing/2014/chart" uri="{C3380CC4-5D6E-409C-BE32-E72D297353CC}">
              <c16:uniqueId val="{00000009-5988-4BBA-9185-E962801304A4}"/>
            </c:ext>
          </c:extLst>
        </c:ser>
        <c:dLbls>
          <c:showLegendKey val="0"/>
          <c:showVal val="0"/>
          <c:showCatName val="0"/>
          <c:showSerName val="0"/>
          <c:showPercent val="0"/>
          <c:showBubbleSize val="0"/>
        </c:dLbls>
        <c:axId val="541528176"/>
        <c:axId val="541529976"/>
      </c:areaChart>
      <c:catAx>
        <c:axId val="541528176"/>
        <c:scaling>
          <c:orientation val="minMax"/>
        </c:scaling>
        <c:delete val="1"/>
        <c:axPos val="b"/>
        <c:numFmt formatCode="General" sourceLinked="1"/>
        <c:majorTickMark val="out"/>
        <c:minorTickMark val="none"/>
        <c:tickLblPos val="nextTo"/>
        <c:crossAx val="541529976"/>
        <c:crosses val="autoZero"/>
        <c:auto val="1"/>
        <c:lblAlgn val="ctr"/>
        <c:lblOffset val="100"/>
        <c:noMultiLvlLbl val="0"/>
      </c:catAx>
      <c:valAx>
        <c:axId val="541529976"/>
        <c:scaling>
          <c:orientation val="minMax"/>
        </c:scaling>
        <c:delete val="1"/>
        <c:axPos val="l"/>
        <c:numFmt formatCode="0" sourceLinked="1"/>
        <c:majorTickMark val="none"/>
        <c:minorTickMark val="none"/>
        <c:tickLblPos val="nextTo"/>
        <c:crossAx val="5415281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[Hospital_emergency.xlsx]Pivot Report!PivotTable8</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800" b="1" i="0" u="none" strike="noStrike" kern="1200" baseline="0">
                <a:solidFill>
                  <a:sysClr val="windowText" lastClr="000000"/>
                </a:solidFill>
              </a:rPr>
              <a:t>No. of Patient By Age Group</a:t>
            </a:r>
          </a:p>
        </c:rich>
      </c:tx>
      <c:layout>
        <c:manualLayout>
          <c:xMode val="edge"/>
          <c:yMode val="edge"/>
          <c:x val="0.31955497758212775"/>
          <c:y val="0.8567825592076014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892470159492416E-3"/>
          <c:y val="1.0984391784712841E-2"/>
          <c:w val="0.95456989439632989"/>
          <c:h val="0.68800694697911924"/>
        </c:manualLayout>
      </c:layout>
      <c:barChart>
        <c:barDir val="col"/>
        <c:grouping val="clustered"/>
        <c:varyColors val="0"/>
        <c:ser>
          <c:idx val="0"/>
          <c:order val="0"/>
          <c:tx>
            <c:strRef>
              <c:f>'Pivot Report'!$G$44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Report'!$F$45:$F$53</c:f>
              <c:strCache>
                <c:ptCount val="8"/>
                <c:pt idx="0">
                  <c:v>0-9</c:v>
                </c:pt>
                <c:pt idx="1">
                  <c:v>10-19</c:v>
                </c:pt>
                <c:pt idx="2">
                  <c:v>20-29</c:v>
                </c:pt>
                <c:pt idx="3">
                  <c:v>30-39</c:v>
                </c:pt>
                <c:pt idx="4">
                  <c:v>40-49</c:v>
                </c:pt>
                <c:pt idx="5">
                  <c:v>50-59</c:v>
                </c:pt>
                <c:pt idx="6">
                  <c:v>60-69</c:v>
                </c:pt>
                <c:pt idx="7">
                  <c:v>70-79</c:v>
                </c:pt>
              </c:strCache>
            </c:strRef>
          </c:cat>
          <c:val>
            <c:numRef>
              <c:f>'Pivot Report'!$G$45:$G$53</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9-39F0-4F6F-93F9-18C0452D01BF}"/>
            </c:ext>
          </c:extLst>
        </c:ser>
        <c:dLbls>
          <c:showLegendKey val="0"/>
          <c:showVal val="0"/>
          <c:showCatName val="0"/>
          <c:showSerName val="0"/>
          <c:showPercent val="0"/>
          <c:showBubbleSize val="0"/>
        </c:dLbls>
        <c:gapWidth val="219"/>
        <c:overlap val="-27"/>
        <c:axId val="550484896"/>
        <c:axId val="550476256"/>
      </c:barChart>
      <c:catAx>
        <c:axId val="55048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550476256"/>
        <c:crosses val="autoZero"/>
        <c:auto val="1"/>
        <c:lblAlgn val="ctr"/>
        <c:lblOffset val="100"/>
        <c:noMultiLvlLbl val="0"/>
      </c:catAx>
      <c:valAx>
        <c:axId val="550476256"/>
        <c:scaling>
          <c:orientation val="minMax"/>
        </c:scaling>
        <c:delete val="1"/>
        <c:axPos val="l"/>
        <c:numFmt formatCode="0" sourceLinked="1"/>
        <c:majorTickMark val="none"/>
        <c:minorTickMark val="none"/>
        <c:tickLblPos val="nextTo"/>
        <c:crossAx val="55048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[Hospital_emergency.xlsx]Pivot Report!PivotTable9</c:name>
    <c:fmtId val="14"/>
  </c:pivotSource>
  <c:chart>
    <c:title>
      <c:tx>
        <c:rich>
          <a:bodyPr/>
          <a:lstStyle/>
          <a:p>
            <a:pPr>
              <a:defRPr/>
            </a:pPr>
            <a:r>
              <a:rPr lang="en-US" sz="700"/>
              <a:t>Patient Attended</a:t>
            </a:r>
            <a:r>
              <a:rPr lang="en-US" sz="700" baseline="0"/>
              <a:t> within Time</a:t>
            </a:r>
            <a:endParaRPr lang="en-US" sz="700"/>
          </a:p>
        </c:rich>
      </c:tx>
      <c:layout>
        <c:manualLayout>
          <c:xMode val="edge"/>
          <c:yMode val="edge"/>
          <c:x val="0.13264244376387399"/>
          <c:y val="0.86666496063327958"/>
        </c:manualLayout>
      </c:layout>
      <c:overlay val="0"/>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lumMod val="50000"/>
            </a:schemeClr>
          </a:solidFill>
          <a:ln w="19050">
            <a:solidFill>
              <a:schemeClr val="lt1"/>
            </a:solidFill>
          </a:ln>
          <a:effectLst/>
        </c:spPr>
      </c:pivotFmt>
      <c:pivotFmt>
        <c:idx val="15"/>
        <c:spPr>
          <a:solidFill>
            <a:schemeClr val="accent2"/>
          </a:solidFill>
          <a:ln w="19050">
            <a:solidFill>
              <a:schemeClr val="lt1"/>
            </a:solidFill>
          </a:ln>
          <a:effectLst/>
        </c:spPr>
      </c:pivotFmt>
    </c:pivotFmts>
    <c:plotArea>
      <c:layout>
        <c:manualLayout>
          <c:layoutTarget val="inner"/>
          <c:xMode val="edge"/>
          <c:yMode val="edge"/>
          <c:x val="0.19501905965801949"/>
          <c:y val="0.1241591387943462"/>
          <c:w val="0.54494406177712429"/>
          <c:h val="0.7567912924055924"/>
        </c:manualLayout>
      </c:layout>
      <c:pieChart>
        <c:varyColors val="1"/>
        <c:ser>
          <c:idx val="0"/>
          <c:order val="0"/>
          <c:tx>
            <c:strRef>
              <c:f>'Pivot Report'!$J$44</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3BD1-44E6-ADF8-AD6DF37A6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D1-44E6-ADF8-AD6DF37A66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'Pivot Report'!$I$45:$I$47</c:f>
              <c:strCache>
                <c:ptCount val="2"/>
                <c:pt idx="0">
                  <c:v>Delay</c:v>
                </c:pt>
                <c:pt idx="1">
                  <c:v>On Time</c:v>
                </c:pt>
              </c:strCache>
            </c:strRef>
          </c:cat>
          <c:val>
            <c:numRef>
              <c:f>'Pivot Report'!$J$45:$J$47</c:f>
              <c:numCache>
                <c:formatCode>0</c:formatCode>
                <c:ptCount val="2"/>
                <c:pt idx="0">
                  <c:v>325</c:v>
                </c:pt>
                <c:pt idx="1">
                  <c:v>188</c:v>
                </c:pt>
              </c:numCache>
            </c:numRef>
          </c:val>
          <c:extLst>
            <c:ext xmlns:c16="http://schemas.microsoft.com/office/drawing/2014/chart" uri="{C3380CC4-5D6E-409C-BE32-E72D297353CC}">
              <c16:uniqueId val="{0000000D-BA31-4D50-9AC5-D18D7553CD5B}"/>
            </c:ext>
          </c:extLst>
        </c:ser>
        <c:dLbls>
          <c:dLblPos val="ctr"/>
          <c:showLegendKey val="0"/>
          <c:showVal val="0"/>
          <c:showCatName val="0"/>
          <c:showSerName val="0"/>
          <c:showPercent val="1"/>
          <c:showBubbleSize val="0"/>
          <c:showLeaderLines val="1"/>
        </c:dLbls>
        <c:firstSliceAng val="0"/>
      </c:pieChart>
    </c:plotArea>
    <c:legend>
      <c:legendPos val="t"/>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16729748422341878"/>
          <c:y val="1.0304468027572983E-2"/>
          <c:w val="0.5175762846995724"/>
          <c:h val="0.1566441213777619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[Hospital_emergency.xlsx]Pivot Report!PivotTable10</c:name>
    <c:fmtId val="32"/>
  </c:pivotSource>
  <c:chart>
    <c:title>
      <c:tx>
        <c:rich>
          <a:bodyPr rot="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r>
              <a:rPr lang="en-US" sz="700">
                <a:solidFill>
                  <a:sysClr val="windowText" lastClr="000000"/>
                </a:solidFill>
              </a:rPr>
              <a:t>Gender Wise Analysis</a:t>
            </a:r>
          </a:p>
        </c:rich>
      </c:tx>
      <c:layout>
        <c:manualLayout>
          <c:xMode val="edge"/>
          <c:yMode val="edge"/>
          <c:x val="0.21040000000000003"/>
          <c:y val="0.86666742490588344"/>
        </c:manualLayout>
      </c:layout>
      <c:overlay val="0"/>
      <c:spPr>
        <a:noFill/>
        <a:ln>
          <a:noFill/>
        </a:ln>
        <a:effectLst/>
      </c:spPr>
      <c:txPr>
        <a:bodyPr rot="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23022992125984251"/>
          <c:y val="0.1479143901263256"/>
          <c:w val="0.57694628171478568"/>
          <c:h val="0.72118348310016023"/>
        </c:manualLayout>
      </c:layout>
      <c:doughnutChart>
        <c:varyColors val="1"/>
        <c:ser>
          <c:idx val="0"/>
          <c:order val="0"/>
          <c:tx>
            <c:strRef>
              <c:f>'Pivot Report'!$J$39</c:f>
              <c:strCache>
                <c:ptCount val="1"/>
                <c:pt idx="0">
                  <c:v>Total</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01-04B8-410D-9C9E-E73568E1CCA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4B8-410D-9C9E-E73568E1CC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Report'!$I$40:$I$42</c:f>
              <c:strCache>
                <c:ptCount val="2"/>
                <c:pt idx="0">
                  <c:v>Female</c:v>
                </c:pt>
                <c:pt idx="1">
                  <c:v>Male</c:v>
                </c:pt>
              </c:strCache>
            </c:strRef>
          </c:cat>
          <c:val>
            <c:numRef>
              <c:f>'Pivot Report'!$J$40:$J$42</c:f>
              <c:numCache>
                <c:formatCode>0</c:formatCode>
                <c:ptCount val="2"/>
                <c:pt idx="0">
                  <c:v>241</c:v>
                </c:pt>
                <c:pt idx="1">
                  <c:v>272</c:v>
                </c:pt>
              </c:numCache>
            </c:numRef>
          </c:val>
          <c:extLst>
            <c:ext xmlns:c16="http://schemas.microsoft.com/office/drawing/2014/chart" uri="{C3380CC4-5D6E-409C-BE32-E72D297353CC}">
              <c16:uniqueId val="{0000000D-26A4-4953-98F3-0AF06ECFCC7D}"/>
            </c:ext>
          </c:extLst>
        </c:ser>
        <c:dLbls>
          <c:showLegendKey val="0"/>
          <c:showVal val="0"/>
          <c:showCatName val="0"/>
          <c:showSerName val="0"/>
          <c:showPercent val="1"/>
          <c:showBubbleSize val="0"/>
          <c:showLeaderLines val="1"/>
        </c:dLbls>
        <c:firstSliceAng val="0"/>
        <c:holeSize val="45"/>
      </c:doughnutChart>
      <c:spPr>
        <a:noFill/>
        <a:ln>
          <a:noFill/>
        </a:ln>
        <a:effectLst/>
      </c:spPr>
    </c:plotArea>
    <c:legend>
      <c:legendPos val="t"/>
      <c:layout>
        <c:manualLayout>
          <c:xMode val="edge"/>
          <c:yMode val="edge"/>
          <c:x val="0.23041959755030622"/>
          <c:y val="0"/>
          <c:w val="0.53916010498687661"/>
          <c:h val="0.1606606829927235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[Hospital_emergency.xlsx]Pivot Report!PivotTable11</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800" b="1">
                <a:solidFill>
                  <a:sysClr val="windowText" lastClr="000000"/>
                </a:solidFill>
              </a:rPr>
              <a:t>No. of Patient by Department</a:t>
            </a:r>
          </a:p>
        </c:rich>
      </c:tx>
      <c:layout>
        <c:manualLayout>
          <c:xMode val="edge"/>
          <c:yMode val="edge"/>
          <c:x val="0.32729663078533772"/>
          <c:y val="0.8900019219038546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56455711637216"/>
          <c:y val="7.3136502082662676E-3"/>
          <c:w val="0.74112590798609967"/>
          <c:h val="0.87270980087404848"/>
        </c:manualLayout>
      </c:layout>
      <c:barChart>
        <c:barDir val="bar"/>
        <c:grouping val="clustered"/>
        <c:varyColors val="0"/>
        <c:ser>
          <c:idx val="0"/>
          <c:order val="0"/>
          <c:tx>
            <c:strRef>
              <c:f>'Pivot Report'!$J$49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Report'!$I$50:$I$58</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Report'!$J$50:$J$58</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9-C7A7-4086-86CD-4874CAB1FFA2}"/>
            </c:ext>
          </c:extLst>
        </c:ser>
        <c:dLbls>
          <c:showLegendKey val="0"/>
          <c:showVal val="0"/>
          <c:showCatName val="0"/>
          <c:showSerName val="0"/>
          <c:showPercent val="0"/>
          <c:showBubbleSize val="0"/>
        </c:dLbls>
        <c:gapWidth val="64"/>
        <c:axId val="425958256"/>
        <c:axId val="425959336"/>
      </c:barChart>
      <c:catAx>
        <c:axId val="425958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425959336"/>
        <c:crosses val="autoZero"/>
        <c:auto val="1"/>
        <c:lblAlgn val="ctr"/>
        <c:lblOffset val="100"/>
        <c:noMultiLvlLbl val="0"/>
      </c:catAx>
      <c:valAx>
        <c:axId val="425959336"/>
        <c:scaling>
          <c:orientation val="minMax"/>
        </c:scaling>
        <c:delete val="1"/>
        <c:axPos val="b"/>
        <c:numFmt formatCode="0" sourceLinked="1"/>
        <c:majorTickMark val="none"/>
        <c:minorTickMark val="none"/>
        <c:tickLblPos val="nextTo"/>
        <c:crossAx val="42595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5.xml"/><Relationship Id="rId7" Type="http://schemas.openxmlformats.org/officeDocument/2006/relationships/chart" Target="../charts/chart7.xml"/><Relationship Id="rId12" Type="http://schemas.openxmlformats.org/officeDocument/2006/relationships/image" Target="../media/image2.emf"/><Relationship Id="rId2" Type="http://schemas.openxmlformats.org/officeDocument/2006/relationships/hyperlink" Target="#'Daily ER Visits'!A1"/><Relationship Id="rId1" Type="http://schemas.openxmlformats.org/officeDocument/2006/relationships/image" Target="../media/image1.png"/><Relationship Id="rId6" Type="http://schemas.openxmlformats.org/officeDocument/2006/relationships/hyperlink" Target="#'Satisfaction Score daily trend'!A1"/><Relationship Id="rId11" Type="http://schemas.openxmlformats.org/officeDocument/2006/relationships/chart" Target="../charts/chart11.xml"/><Relationship Id="rId5" Type="http://schemas.openxmlformats.org/officeDocument/2006/relationships/chart" Target="../charts/chart6.xml"/><Relationship Id="rId10" Type="http://schemas.openxmlformats.org/officeDocument/2006/relationships/chart" Target="../charts/chart10.xml"/><Relationship Id="rId4" Type="http://schemas.openxmlformats.org/officeDocument/2006/relationships/hyperlink" Target="#'AverageWittime daily trend'!A1"/><Relationship Id="rId9"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absolute">
    <xdr:from>
      <xdr:col>3</xdr:col>
      <xdr:colOff>76200</xdr:colOff>
      <xdr:row>43</xdr:row>
      <xdr:rowOff>128587</xdr:rowOff>
    </xdr:from>
    <xdr:to>
      <xdr:col>3</xdr:col>
      <xdr:colOff>1162050</xdr:colOff>
      <xdr:row>45</xdr:row>
      <xdr:rowOff>152400</xdr:rowOff>
    </xdr:to>
    <xdr:graphicFrame macro="">
      <xdr:nvGraphicFramePr>
        <xdr:cNvPr id="8" name="Chart 7">
          <a:extLst>
            <a:ext uri="{FF2B5EF4-FFF2-40B4-BE49-F238E27FC236}">
              <a16:creationId xmlns:a16="http://schemas.microsoft.com/office/drawing/2014/main" id="{734932E4-90E4-7AB7-83D9-B1107119C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542924</xdr:colOff>
      <xdr:row>2</xdr:row>
      <xdr:rowOff>9525</xdr:rowOff>
    </xdr:from>
    <xdr:to>
      <xdr:col>17</xdr:col>
      <xdr:colOff>247649</xdr:colOff>
      <xdr:row>20</xdr:row>
      <xdr:rowOff>66675</xdr:rowOff>
    </xdr:to>
    <xdr:graphicFrame macro="">
      <xdr:nvGraphicFramePr>
        <xdr:cNvPr id="2" name="Chart 1">
          <a:extLst>
            <a:ext uri="{FF2B5EF4-FFF2-40B4-BE49-F238E27FC236}">
              <a16:creationId xmlns:a16="http://schemas.microsoft.com/office/drawing/2014/main" id="{0B579186-C1E0-49CC-8FCC-0F573EC39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266699</xdr:colOff>
      <xdr:row>4</xdr:row>
      <xdr:rowOff>0</xdr:rowOff>
    </xdr:from>
    <xdr:to>
      <xdr:col>16</xdr:col>
      <xdr:colOff>390524</xdr:colOff>
      <xdr:row>20</xdr:row>
      <xdr:rowOff>133350</xdr:rowOff>
    </xdr:to>
    <xdr:graphicFrame macro="">
      <xdr:nvGraphicFramePr>
        <xdr:cNvPr id="3" name="Chart 2">
          <a:extLst>
            <a:ext uri="{FF2B5EF4-FFF2-40B4-BE49-F238E27FC236}">
              <a16:creationId xmlns:a16="http://schemas.microsoft.com/office/drawing/2014/main" id="{760337DF-62D6-458A-A16D-1932A78B9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95250</xdr:colOff>
      <xdr:row>1</xdr:row>
      <xdr:rowOff>9525</xdr:rowOff>
    </xdr:from>
    <xdr:to>
      <xdr:col>13</xdr:col>
      <xdr:colOff>419100</xdr:colOff>
      <xdr:row>16</xdr:row>
      <xdr:rowOff>57149</xdr:rowOff>
    </xdr:to>
    <xdr:graphicFrame macro="">
      <xdr:nvGraphicFramePr>
        <xdr:cNvPr id="2" name="Chart 1">
          <a:extLst>
            <a:ext uri="{FF2B5EF4-FFF2-40B4-BE49-F238E27FC236}">
              <a16:creationId xmlns:a16="http://schemas.microsoft.com/office/drawing/2014/main" id="{D5563B2B-B53B-44FA-9696-01BC4ECB0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4</xdr:col>
      <xdr:colOff>161195</xdr:colOff>
      <xdr:row>0</xdr:row>
      <xdr:rowOff>36635</xdr:rowOff>
    </xdr:from>
    <xdr:to>
      <xdr:col>10</xdr:col>
      <xdr:colOff>131887</xdr:colOff>
      <xdr:row>2</xdr:row>
      <xdr:rowOff>168520</xdr:rowOff>
    </xdr:to>
    <xdr:sp macro="" textlink="">
      <xdr:nvSpPr>
        <xdr:cNvPr id="2" name="Rectangle: Rounded Corners 1">
          <a:extLst>
            <a:ext uri="{FF2B5EF4-FFF2-40B4-BE49-F238E27FC236}">
              <a16:creationId xmlns:a16="http://schemas.microsoft.com/office/drawing/2014/main" id="{8CFC41D3-9D00-8CB6-81B4-07A710F8D194}"/>
            </a:ext>
          </a:extLst>
        </xdr:cNvPr>
        <xdr:cNvSpPr/>
      </xdr:nvSpPr>
      <xdr:spPr>
        <a:xfrm>
          <a:off x="2593733" y="36635"/>
          <a:ext cx="3619500" cy="51288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21981</xdr:colOff>
      <xdr:row>0</xdr:row>
      <xdr:rowOff>27842</xdr:rowOff>
    </xdr:from>
    <xdr:to>
      <xdr:col>1</xdr:col>
      <xdr:colOff>300403</xdr:colOff>
      <xdr:row>2</xdr:row>
      <xdr:rowOff>137746</xdr:rowOff>
    </xdr:to>
    <xdr:sp macro="" textlink="">
      <xdr:nvSpPr>
        <xdr:cNvPr id="3" name="Rectangle: Rounded Corners 2">
          <a:extLst>
            <a:ext uri="{FF2B5EF4-FFF2-40B4-BE49-F238E27FC236}">
              <a16:creationId xmlns:a16="http://schemas.microsoft.com/office/drawing/2014/main" id="{C2C65A2A-FE03-47CD-B242-6FDCE85A3DD9}"/>
            </a:ext>
          </a:extLst>
        </xdr:cNvPr>
        <xdr:cNvSpPr/>
      </xdr:nvSpPr>
      <xdr:spPr>
        <a:xfrm>
          <a:off x="21981" y="27842"/>
          <a:ext cx="886557" cy="490904"/>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27842</xdr:colOff>
      <xdr:row>2</xdr:row>
      <xdr:rowOff>175846</xdr:rowOff>
    </xdr:from>
    <xdr:to>
      <xdr:col>1</xdr:col>
      <xdr:colOff>307730</xdr:colOff>
      <xdr:row>16</xdr:row>
      <xdr:rowOff>161191</xdr:rowOff>
    </xdr:to>
    <xdr:sp macro="" textlink="">
      <xdr:nvSpPr>
        <xdr:cNvPr id="4" name="Rectangle: Rounded Corners 3">
          <a:extLst>
            <a:ext uri="{FF2B5EF4-FFF2-40B4-BE49-F238E27FC236}">
              <a16:creationId xmlns:a16="http://schemas.microsoft.com/office/drawing/2014/main" id="{FE8AB61B-71B5-4C0C-B9B7-54CDCE55CDBC}"/>
            </a:ext>
          </a:extLst>
        </xdr:cNvPr>
        <xdr:cNvSpPr/>
      </xdr:nvSpPr>
      <xdr:spPr>
        <a:xfrm>
          <a:off x="27842" y="556846"/>
          <a:ext cx="888023" cy="265234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342901</xdr:colOff>
      <xdr:row>0</xdr:row>
      <xdr:rowOff>27841</xdr:rowOff>
    </xdr:from>
    <xdr:to>
      <xdr:col>4</xdr:col>
      <xdr:colOff>117231</xdr:colOff>
      <xdr:row>6</xdr:row>
      <xdr:rowOff>102577</xdr:rowOff>
    </xdr:to>
    <xdr:sp macro="" textlink="">
      <xdr:nvSpPr>
        <xdr:cNvPr id="5" name="Rectangle: Rounded Corners 4">
          <a:extLst>
            <a:ext uri="{FF2B5EF4-FFF2-40B4-BE49-F238E27FC236}">
              <a16:creationId xmlns:a16="http://schemas.microsoft.com/office/drawing/2014/main" id="{C9B20EAF-9919-4A8B-AF9F-8B86B626CCE5}"/>
            </a:ext>
          </a:extLst>
        </xdr:cNvPr>
        <xdr:cNvSpPr/>
      </xdr:nvSpPr>
      <xdr:spPr>
        <a:xfrm>
          <a:off x="951036" y="27841"/>
          <a:ext cx="1598733" cy="1217736"/>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190500</xdr:colOff>
      <xdr:row>0</xdr:row>
      <xdr:rowOff>26376</xdr:rowOff>
    </xdr:from>
    <xdr:to>
      <xdr:col>12</xdr:col>
      <xdr:colOff>592017</xdr:colOff>
      <xdr:row>6</xdr:row>
      <xdr:rowOff>80596</xdr:rowOff>
    </xdr:to>
    <xdr:sp macro="" textlink="">
      <xdr:nvSpPr>
        <xdr:cNvPr id="6" name="Rectangle: Rounded Corners 5">
          <a:extLst>
            <a:ext uri="{FF2B5EF4-FFF2-40B4-BE49-F238E27FC236}">
              <a16:creationId xmlns:a16="http://schemas.microsoft.com/office/drawing/2014/main" id="{74464FEB-EBEB-4560-AEEA-50D7FBEC5665}"/>
            </a:ext>
          </a:extLst>
        </xdr:cNvPr>
        <xdr:cNvSpPr/>
      </xdr:nvSpPr>
      <xdr:spPr>
        <a:xfrm>
          <a:off x="6271846" y="26376"/>
          <a:ext cx="1617786" cy="119722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168519</xdr:colOff>
      <xdr:row>3</xdr:row>
      <xdr:rowOff>26376</xdr:rowOff>
    </xdr:from>
    <xdr:to>
      <xdr:col>6</xdr:col>
      <xdr:colOff>124556</xdr:colOff>
      <xdr:row>6</xdr:row>
      <xdr:rowOff>124556</xdr:rowOff>
    </xdr:to>
    <xdr:sp macro="" textlink="">
      <xdr:nvSpPr>
        <xdr:cNvPr id="7" name="Rectangle: Rounded Corners 6">
          <a:extLst>
            <a:ext uri="{FF2B5EF4-FFF2-40B4-BE49-F238E27FC236}">
              <a16:creationId xmlns:a16="http://schemas.microsoft.com/office/drawing/2014/main" id="{FDD67223-55D8-4D3F-8FB3-61CB6EB50E4E}"/>
            </a:ext>
          </a:extLst>
        </xdr:cNvPr>
        <xdr:cNvSpPr/>
      </xdr:nvSpPr>
      <xdr:spPr>
        <a:xfrm>
          <a:off x="2601057" y="597876"/>
          <a:ext cx="1172307" cy="66968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164344</xdr:colOff>
      <xdr:row>3</xdr:row>
      <xdr:rowOff>24912</xdr:rowOff>
    </xdr:from>
    <xdr:to>
      <xdr:col>8</xdr:col>
      <xdr:colOff>139211</xdr:colOff>
      <xdr:row>6</xdr:row>
      <xdr:rowOff>123092</xdr:rowOff>
    </xdr:to>
    <xdr:sp macro="" textlink="">
      <xdr:nvSpPr>
        <xdr:cNvPr id="8" name="Rectangle: Rounded Corners 7">
          <a:extLst>
            <a:ext uri="{FF2B5EF4-FFF2-40B4-BE49-F238E27FC236}">
              <a16:creationId xmlns:a16="http://schemas.microsoft.com/office/drawing/2014/main" id="{C1BFFF88-4099-43BC-B22E-D3D6CAAD84C2}"/>
            </a:ext>
          </a:extLst>
        </xdr:cNvPr>
        <xdr:cNvSpPr/>
      </xdr:nvSpPr>
      <xdr:spPr>
        <a:xfrm>
          <a:off x="3813152" y="596412"/>
          <a:ext cx="1191136" cy="66968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183174</xdr:colOff>
      <xdr:row>3</xdr:row>
      <xdr:rowOff>23447</xdr:rowOff>
    </xdr:from>
    <xdr:to>
      <xdr:col>10</xdr:col>
      <xdr:colOff>143609</xdr:colOff>
      <xdr:row>6</xdr:row>
      <xdr:rowOff>121627</xdr:rowOff>
    </xdr:to>
    <xdr:sp macro="" textlink="">
      <xdr:nvSpPr>
        <xdr:cNvPr id="9" name="Rectangle: Rounded Corners 8">
          <a:extLst>
            <a:ext uri="{FF2B5EF4-FFF2-40B4-BE49-F238E27FC236}">
              <a16:creationId xmlns:a16="http://schemas.microsoft.com/office/drawing/2014/main" id="{65663710-FC1A-4378-BE32-44518563A82B}"/>
            </a:ext>
          </a:extLst>
        </xdr:cNvPr>
        <xdr:cNvSpPr/>
      </xdr:nvSpPr>
      <xdr:spPr>
        <a:xfrm>
          <a:off x="5048251" y="594947"/>
          <a:ext cx="1176704" cy="66968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335570</xdr:colOff>
      <xdr:row>10</xdr:row>
      <xdr:rowOff>90853</xdr:rowOff>
    </xdr:from>
    <xdr:to>
      <xdr:col>7</xdr:col>
      <xdr:colOff>527539</xdr:colOff>
      <xdr:row>16</xdr:row>
      <xdr:rowOff>145073</xdr:rowOff>
    </xdr:to>
    <xdr:sp macro="" textlink="">
      <xdr:nvSpPr>
        <xdr:cNvPr id="11" name="Rectangle: Rounded Corners 10">
          <a:extLst>
            <a:ext uri="{FF2B5EF4-FFF2-40B4-BE49-F238E27FC236}">
              <a16:creationId xmlns:a16="http://schemas.microsoft.com/office/drawing/2014/main" id="{1016EB90-B1A4-4037-AD5A-4090E939EE24}"/>
            </a:ext>
          </a:extLst>
        </xdr:cNvPr>
        <xdr:cNvSpPr/>
      </xdr:nvSpPr>
      <xdr:spPr>
        <a:xfrm>
          <a:off x="943705" y="1995853"/>
          <a:ext cx="3840776" cy="119722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36000" rtlCol="0" anchor="t"/>
        <a:lstStyle/>
        <a:p>
          <a:pPr algn="l"/>
          <a:endParaRPr lang="en-IN" sz="1100"/>
        </a:p>
      </xdr:txBody>
    </xdr:sp>
    <xdr:clientData/>
  </xdr:twoCellAnchor>
  <xdr:twoCellAnchor editAs="absolute">
    <xdr:from>
      <xdr:col>1</xdr:col>
      <xdr:colOff>341433</xdr:colOff>
      <xdr:row>6</xdr:row>
      <xdr:rowOff>162657</xdr:rowOff>
    </xdr:from>
    <xdr:to>
      <xdr:col>7</xdr:col>
      <xdr:colOff>533402</xdr:colOff>
      <xdr:row>10</xdr:row>
      <xdr:rowOff>51288</xdr:rowOff>
    </xdr:to>
    <xdr:sp macro="" textlink="">
      <xdr:nvSpPr>
        <xdr:cNvPr id="12" name="Rectangle: Rounded Corners 11">
          <a:extLst>
            <a:ext uri="{FF2B5EF4-FFF2-40B4-BE49-F238E27FC236}">
              <a16:creationId xmlns:a16="http://schemas.microsoft.com/office/drawing/2014/main" id="{FEECF14D-3EB3-4200-B1BE-469D2DB5E59F}"/>
            </a:ext>
          </a:extLst>
        </xdr:cNvPr>
        <xdr:cNvSpPr/>
      </xdr:nvSpPr>
      <xdr:spPr>
        <a:xfrm>
          <a:off x="949568" y="1305657"/>
          <a:ext cx="3840776" cy="650631"/>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000</a:t>
          </a:r>
        </a:p>
      </xdr:txBody>
    </xdr:sp>
    <xdr:clientData/>
  </xdr:twoCellAnchor>
  <xdr:twoCellAnchor editAs="absolute">
    <xdr:from>
      <xdr:col>7</xdr:col>
      <xdr:colOff>577361</xdr:colOff>
      <xdr:row>6</xdr:row>
      <xdr:rowOff>161192</xdr:rowOff>
    </xdr:from>
    <xdr:to>
      <xdr:col>12</xdr:col>
      <xdr:colOff>586154</xdr:colOff>
      <xdr:row>16</xdr:row>
      <xdr:rowOff>161192</xdr:rowOff>
    </xdr:to>
    <xdr:sp macro="" textlink="">
      <xdr:nvSpPr>
        <xdr:cNvPr id="13" name="Rectangle: Rounded Corners 12">
          <a:extLst>
            <a:ext uri="{FF2B5EF4-FFF2-40B4-BE49-F238E27FC236}">
              <a16:creationId xmlns:a16="http://schemas.microsoft.com/office/drawing/2014/main" id="{0F41741B-FE4E-47A2-82D0-BED8CA1464D0}"/>
            </a:ext>
          </a:extLst>
        </xdr:cNvPr>
        <xdr:cNvSpPr/>
      </xdr:nvSpPr>
      <xdr:spPr>
        <a:xfrm>
          <a:off x="4834303" y="1304192"/>
          <a:ext cx="3049466" cy="19050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212480</xdr:colOff>
      <xdr:row>0</xdr:row>
      <xdr:rowOff>139211</xdr:rowOff>
    </xdr:from>
    <xdr:to>
      <xdr:col>10</xdr:col>
      <xdr:colOff>73268</xdr:colOff>
      <xdr:row>1</xdr:row>
      <xdr:rowOff>183173</xdr:rowOff>
    </xdr:to>
    <xdr:sp macro="" textlink="">
      <xdr:nvSpPr>
        <xdr:cNvPr id="14" name="TextBox 13">
          <a:extLst>
            <a:ext uri="{FF2B5EF4-FFF2-40B4-BE49-F238E27FC236}">
              <a16:creationId xmlns:a16="http://schemas.microsoft.com/office/drawing/2014/main" id="{E2593163-070A-2A57-34C4-5FD890365F6C}"/>
            </a:ext>
          </a:extLst>
        </xdr:cNvPr>
        <xdr:cNvSpPr txBox="1"/>
      </xdr:nvSpPr>
      <xdr:spPr>
        <a:xfrm>
          <a:off x="3253153" y="139211"/>
          <a:ext cx="2901461" cy="234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solidFill>
                <a:srgbClr val="002060"/>
              </a:solidFill>
            </a:rPr>
            <a:t>Hospital Emergency Room Dashboard</a:t>
          </a:r>
        </a:p>
      </xdr:txBody>
    </xdr:sp>
    <xdr:clientData/>
  </xdr:twoCellAnchor>
  <xdr:twoCellAnchor editAs="oneCell">
    <xdr:from>
      <xdr:col>4</xdr:col>
      <xdr:colOff>211072</xdr:colOff>
      <xdr:row>0</xdr:row>
      <xdr:rowOff>90993</xdr:rowOff>
    </xdr:from>
    <xdr:to>
      <xdr:col>5</xdr:col>
      <xdr:colOff>124558</xdr:colOff>
      <xdr:row>2</xdr:row>
      <xdr:rowOff>91504</xdr:rowOff>
    </xdr:to>
    <xdr:pic>
      <xdr:nvPicPr>
        <xdr:cNvPr id="15" name="Picture 14">
          <a:extLst>
            <a:ext uri="{FF2B5EF4-FFF2-40B4-BE49-F238E27FC236}">
              <a16:creationId xmlns:a16="http://schemas.microsoft.com/office/drawing/2014/main" id="{A2058A0C-D789-9D29-4CE1-346954DFDB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43610" y="90993"/>
          <a:ext cx="521621" cy="381511"/>
        </a:xfrm>
        <a:prstGeom prst="rect">
          <a:avLst/>
        </a:prstGeom>
      </xdr:spPr>
    </xdr:pic>
    <xdr:clientData/>
  </xdr:twoCellAnchor>
  <xdr:twoCellAnchor>
    <xdr:from>
      <xdr:col>4</xdr:col>
      <xdr:colOff>549520</xdr:colOff>
      <xdr:row>4</xdr:row>
      <xdr:rowOff>21982</xdr:rowOff>
    </xdr:from>
    <xdr:to>
      <xdr:col>5</xdr:col>
      <xdr:colOff>307731</xdr:colOff>
      <xdr:row>4</xdr:row>
      <xdr:rowOff>161193</xdr:rowOff>
    </xdr:to>
    <xdr:sp macro="" textlink="'Pivot Report'!A5">
      <xdr:nvSpPr>
        <xdr:cNvPr id="16" name="TextBox 15">
          <a:extLst>
            <a:ext uri="{FF2B5EF4-FFF2-40B4-BE49-F238E27FC236}">
              <a16:creationId xmlns:a16="http://schemas.microsoft.com/office/drawing/2014/main" id="{54959BD5-9438-AF3B-054C-C2B054E50408}"/>
            </a:ext>
          </a:extLst>
        </xdr:cNvPr>
        <xdr:cNvSpPr txBox="1"/>
      </xdr:nvSpPr>
      <xdr:spPr>
        <a:xfrm>
          <a:off x="2982058" y="783982"/>
          <a:ext cx="366346" cy="1392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1B0A4B1-FB0F-43EB-9EC3-FF6AC82B3B72}" type="TxLink">
            <a:rPr lang="en-US" sz="900" b="0" i="0" u="none" strike="noStrike">
              <a:solidFill>
                <a:srgbClr val="000000"/>
              </a:solidFill>
              <a:latin typeface="Calibri"/>
              <a:cs typeface="Calibri"/>
            </a:rPr>
            <a:pPr/>
            <a:t>513</a:t>
          </a:fld>
          <a:endParaRPr lang="en-US" sz="900"/>
        </a:p>
      </xdr:txBody>
    </xdr:sp>
    <xdr:clientData/>
  </xdr:twoCellAnchor>
  <xdr:twoCellAnchor>
    <xdr:from>
      <xdr:col>4</xdr:col>
      <xdr:colOff>424963</xdr:colOff>
      <xdr:row>3</xdr:row>
      <xdr:rowOff>87923</xdr:rowOff>
    </xdr:from>
    <xdr:to>
      <xdr:col>5</xdr:col>
      <xdr:colOff>483578</xdr:colOff>
      <xdr:row>4</xdr:row>
      <xdr:rowOff>51288</xdr:rowOff>
    </xdr:to>
    <xdr:sp macro="" textlink="">
      <xdr:nvSpPr>
        <xdr:cNvPr id="17" name="TextBox 16">
          <a:extLst>
            <a:ext uri="{FF2B5EF4-FFF2-40B4-BE49-F238E27FC236}">
              <a16:creationId xmlns:a16="http://schemas.microsoft.com/office/drawing/2014/main" id="{CC273BEC-5B76-2974-7263-642D27134ED0}"/>
            </a:ext>
          </a:extLst>
        </xdr:cNvPr>
        <xdr:cNvSpPr txBox="1"/>
      </xdr:nvSpPr>
      <xdr:spPr>
        <a:xfrm>
          <a:off x="2857501" y="659423"/>
          <a:ext cx="666750" cy="1538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solidFill>
                <a:srgbClr val="002060"/>
              </a:solidFill>
              <a:latin typeface="+mn-lt"/>
              <a:ea typeface="Segoe UI Black" panose="020B0A02040204020203" pitchFamily="34" charset="0"/>
            </a:rPr>
            <a:t>No of Patient</a:t>
          </a:r>
        </a:p>
      </xdr:txBody>
    </xdr:sp>
    <xdr:clientData/>
  </xdr:twoCellAnchor>
  <xdr:twoCellAnchor>
    <xdr:from>
      <xdr:col>6</xdr:col>
      <xdr:colOff>278422</xdr:colOff>
      <xdr:row>3</xdr:row>
      <xdr:rowOff>71802</xdr:rowOff>
    </xdr:from>
    <xdr:to>
      <xdr:col>8</xdr:col>
      <xdr:colOff>51288</xdr:colOff>
      <xdr:row>4</xdr:row>
      <xdr:rowOff>58615</xdr:rowOff>
    </xdr:to>
    <xdr:sp macro="" textlink="">
      <xdr:nvSpPr>
        <xdr:cNvPr id="18" name="TextBox 17">
          <a:extLst>
            <a:ext uri="{FF2B5EF4-FFF2-40B4-BE49-F238E27FC236}">
              <a16:creationId xmlns:a16="http://schemas.microsoft.com/office/drawing/2014/main" id="{426F2E79-0BA1-4273-B3FA-E664921F8827}"/>
            </a:ext>
          </a:extLst>
        </xdr:cNvPr>
        <xdr:cNvSpPr txBox="1"/>
      </xdr:nvSpPr>
      <xdr:spPr>
        <a:xfrm>
          <a:off x="3927230" y="643302"/>
          <a:ext cx="989135" cy="1773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solidFill>
                <a:srgbClr val="002060"/>
              </a:solidFill>
            </a:rPr>
            <a:t>Average</a:t>
          </a:r>
          <a:r>
            <a:rPr lang="en-IN" sz="600">
              <a:solidFill>
                <a:srgbClr val="002060"/>
              </a:solidFill>
            </a:rPr>
            <a:t> </a:t>
          </a:r>
          <a:r>
            <a:rPr lang="en-IN" sz="900">
              <a:solidFill>
                <a:srgbClr val="002060"/>
              </a:solidFill>
            </a:rPr>
            <a:t>WaitTime</a:t>
          </a:r>
        </a:p>
      </xdr:txBody>
    </xdr:sp>
    <xdr:clientData/>
  </xdr:twoCellAnchor>
  <xdr:twoCellAnchor>
    <xdr:from>
      <xdr:col>8</xdr:col>
      <xdr:colOff>227136</xdr:colOff>
      <xdr:row>3</xdr:row>
      <xdr:rowOff>99646</xdr:rowOff>
    </xdr:from>
    <xdr:to>
      <xdr:col>10</xdr:col>
      <xdr:colOff>95251</xdr:colOff>
      <xdr:row>4</xdr:row>
      <xdr:rowOff>114300</xdr:rowOff>
    </xdr:to>
    <xdr:sp macro="" textlink="">
      <xdr:nvSpPr>
        <xdr:cNvPr id="19" name="TextBox 18">
          <a:extLst>
            <a:ext uri="{FF2B5EF4-FFF2-40B4-BE49-F238E27FC236}">
              <a16:creationId xmlns:a16="http://schemas.microsoft.com/office/drawing/2014/main" id="{019C6D08-F756-4327-9349-4F676F3880BE}"/>
            </a:ext>
          </a:extLst>
        </xdr:cNvPr>
        <xdr:cNvSpPr txBox="1"/>
      </xdr:nvSpPr>
      <xdr:spPr>
        <a:xfrm>
          <a:off x="5092213" y="671146"/>
          <a:ext cx="1084384" cy="2051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solidFill>
                <a:srgbClr val="002060"/>
              </a:solidFill>
            </a:rPr>
            <a:t>Patient</a:t>
          </a:r>
          <a:r>
            <a:rPr lang="en-IN" sz="800" baseline="0">
              <a:solidFill>
                <a:srgbClr val="002060"/>
              </a:solidFill>
            </a:rPr>
            <a:t> Satisfaction Score</a:t>
          </a:r>
          <a:endParaRPr lang="en-IN" sz="800">
            <a:solidFill>
              <a:srgbClr val="002060"/>
            </a:solidFill>
          </a:endParaRPr>
        </a:p>
      </xdr:txBody>
    </xdr:sp>
    <xdr:clientData/>
  </xdr:twoCellAnchor>
  <xdr:twoCellAnchor>
    <xdr:from>
      <xdr:col>6</xdr:col>
      <xdr:colOff>584690</xdr:colOff>
      <xdr:row>4</xdr:row>
      <xdr:rowOff>42496</xdr:rowOff>
    </xdr:from>
    <xdr:to>
      <xdr:col>7</xdr:col>
      <xdr:colOff>359020</xdr:colOff>
      <xdr:row>5</xdr:row>
      <xdr:rowOff>49823</xdr:rowOff>
    </xdr:to>
    <xdr:sp macro="" textlink="'Pivot Report'!A8">
      <xdr:nvSpPr>
        <xdr:cNvPr id="20" name="TextBox 19">
          <a:extLst>
            <a:ext uri="{FF2B5EF4-FFF2-40B4-BE49-F238E27FC236}">
              <a16:creationId xmlns:a16="http://schemas.microsoft.com/office/drawing/2014/main" id="{32DB48FE-FE66-4DA7-956F-757B6FE7A5C4}"/>
            </a:ext>
          </a:extLst>
        </xdr:cNvPr>
        <xdr:cNvSpPr txBox="1"/>
      </xdr:nvSpPr>
      <xdr:spPr>
        <a:xfrm>
          <a:off x="4233498" y="804496"/>
          <a:ext cx="382464" cy="1978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8C4D11D1-94C5-462B-834E-BAB90E193429}" type="TxLink">
            <a:rPr lang="en-US" sz="900" b="0" i="0" u="none" strike="noStrike">
              <a:solidFill>
                <a:srgbClr val="000000"/>
              </a:solidFill>
              <a:latin typeface="Calibri"/>
              <a:cs typeface="Calibri"/>
            </a:rPr>
            <a:pPr/>
            <a:t>36.32</a:t>
          </a:fld>
          <a:endParaRPr lang="en-US" sz="900"/>
        </a:p>
      </xdr:txBody>
    </xdr:sp>
    <xdr:clientData/>
  </xdr:twoCellAnchor>
  <xdr:twoCellAnchor>
    <xdr:from>
      <xdr:col>9</xdr:col>
      <xdr:colOff>41030</xdr:colOff>
      <xdr:row>4</xdr:row>
      <xdr:rowOff>36637</xdr:rowOff>
    </xdr:from>
    <xdr:to>
      <xdr:col>9</xdr:col>
      <xdr:colOff>388327</xdr:colOff>
      <xdr:row>5</xdr:row>
      <xdr:rowOff>41035</xdr:rowOff>
    </xdr:to>
    <xdr:sp macro="" textlink="'Pivot Report'!A14">
      <xdr:nvSpPr>
        <xdr:cNvPr id="21" name="TextBox 20">
          <a:extLst>
            <a:ext uri="{FF2B5EF4-FFF2-40B4-BE49-F238E27FC236}">
              <a16:creationId xmlns:a16="http://schemas.microsoft.com/office/drawing/2014/main" id="{F1E94354-95D4-4123-B540-537C12C18A36}"/>
            </a:ext>
          </a:extLst>
        </xdr:cNvPr>
        <xdr:cNvSpPr txBox="1"/>
      </xdr:nvSpPr>
      <xdr:spPr>
        <a:xfrm>
          <a:off x="5514242" y="798637"/>
          <a:ext cx="347297" cy="1948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00D3EFF-CAAB-464C-BB46-ADBCD3573068}" type="TxLink">
            <a:rPr lang="en-US" sz="900" b="0" i="0" u="none" strike="noStrike">
              <a:solidFill>
                <a:srgbClr val="000000"/>
              </a:solidFill>
              <a:latin typeface="Calibri"/>
              <a:cs typeface="Calibri"/>
            </a:rPr>
            <a:pPr/>
            <a:t>4.96</a:t>
          </a:fld>
          <a:endParaRPr lang="en-US" sz="900"/>
        </a:p>
      </xdr:txBody>
    </xdr:sp>
    <xdr:clientData/>
  </xdr:twoCellAnchor>
  <xdr:twoCellAnchor editAs="oneCell">
    <xdr:from>
      <xdr:col>0</xdr:col>
      <xdr:colOff>51288</xdr:colOff>
      <xdr:row>3</xdr:row>
      <xdr:rowOff>87923</xdr:rowOff>
    </xdr:from>
    <xdr:to>
      <xdr:col>1</xdr:col>
      <xdr:colOff>220153</xdr:colOff>
      <xdr:row>16</xdr:row>
      <xdr:rowOff>95423</xdr:rowOff>
    </xdr:to>
    <mc:AlternateContent xmlns:mc="http://schemas.openxmlformats.org/markup-compatibility/2006" xmlns:a14="http://schemas.microsoft.com/office/drawing/2010/main">
      <mc:Choice Requires="a14">
        <xdr:graphicFrame macro="">
          <xdr:nvGraphicFramePr>
            <xdr:cNvPr id="22" name="Date (Month)">
              <a:extLst>
                <a:ext uri="{FF2B5EF4-FFF2-40B4-BE49-F238E27FC236}">
                  <a16:creationId xmlns:a16="http://schemas.microsoft.com/office/drawing/2014/main" id="{F029EEE2-E1CA-483F-8B60-0432C051EAC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1288" y="659423"/>
              <a:ext cx="777000" cy="248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212483</xdr:colOff>
      <xdr:row>4</xdr:row>
      <xdr:rowOff>153865</xdr:rowOff>
    </xdr:from>
    <xdr:to>
      <xdr:col>6</xdr:col>
      <xdr:colOff>109904</xdr:colOff>
      <xdr:row>6</xdr:row>
      <xdr:rowOff>117232</xdr:rowOff>
    </xdr:to>
    <xdr:graphicFrame macro="">
      <xdr:nvGraphicFramePr>
        <xdr:cNvPr id="23" name="Chart 22">
          <a:hlinkClick xmlns:r="http://schemas.openxmlformats.org/officeDocument/2006/relationships" r:id="rId2"/>
          <a:extLst>
            <a:ext uri="{FF2B5EF4-FFF2-40B4-BE49-F238E27FC236}">
              <a16:creationId xmlns:a16="http://schemas.microsoft.com/office/drawing/2014/main" id="{40A4F749-F3EF-4762-8A49-3457CA8EF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183173</xdr:colOff>
      <xdr:row>4</xdr:row>
      <xdr:rowOff>153865</xdr:rowOff>
    </xdr:from>
    <xdr:to>
      <xdr:col>8</xdr:col>
      <xdr:colOff>117231</xdr:colOff>
      <xdr:row>6</xdr:row>
      <xdr:rowOff>117231</xdr:rowOff>
    </xdr:to>
    <xdr:graphicFrame macro="">
      <xdr:nvGraphicFramePr>
        <xdr:cNvPr id="24" name="Chart 23">
          <a:hlinkClick xmlns:r="http://schemas.openxmlformats.org/officeDocument/2006/relationships" r:id="rId4"/>
          <a:extLst>
            <a:ext uri="{FF2B5EF4-FFF2-40B4-BE49-F238E27FC236}">
              <a16:creationId xmlns:a16="http://schemas.microsoft.com/office/drawing/2014/main" id="{DDA10DA1-9A56-4B9F-936A-66195E8D6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190500</xdr:colOff>
      <xdr:row>4</xdr:row>
      <xdr:rowOff>73269</xdr:rowOff>
    </xdr:from>
    <xdr:to>
      <xdr:col>10</xdr:col>
      <xdr:colOff>153866</xdr:colOff>
      <xdr:row>6</xdr:row>
      <xdr:rowOff>124558</xdr:rowOff>
    </xdr:to>
    <xdr:graphicFrame macro="">
      <xdr:nvGraphicFramePr>
        <xdr:cNvPr id="25" name="Chart 24">
          <a:hlinkClick xmlns:r="http://schemas.openxmlformats.org/officeDocument/2006/relationships" r:id="rId6"/>
          <a:extLst>
            <a:ext uri="{FF2B5EF4-FFF2-40B4-BE49-F238E27FC236}">
              <a16:creationId xmlns:a16="http://schemas.microsoft.com/office/drawing/2014/main" id="{74EA46CE-CA7C-4090-BBBB-A282F4E6D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439616</xdr:colOff>
      <xdr:row>10</xdr:row>
      <xdr:rowOff>95251</xdr:rowOff>
    </xdr:from>
    <xdr:to>
      <xdr:col>7</xdr:col>
      <xdr:colOff>424963</xdr:colOff>
      <xdr:row>16</xdr:row>
      <xdr:rowOff>108437</xdr:rowOff>
    </xdr:to>
    <xdr:graphicFrame macro="">
      <xdr:nvGraphicFramePr>
        <xdr:cNvPr id="10" name="Chart 9">
          <a:extLst>
            <a:ext uri="{FF2B5EF4-FFF2-40B4-BE49-F238E27FC236}">
              <a16:creationId xmlns:a16="http://schemas.microsoft.com/office/drawing/2014/main" id="{6477BE76-D7F8-4E48-A8F6-65BF64C12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218340</xdr:colOff>
      <xdr:row>0</xdr:row>
      <xdr:rowOff>36634</xdr:rowOff>
    </xdr:from>
    <xdr:to>
      <xdr:col>13</xdr:col>
      <xdr:colOff>1</xdr:colOff>
      <xdr:row>6</xdr:row>
      <xdr:rowOff>65941</xdr:rowOff>
    </xdr:to>
    <xdr:graphicFrame macro="">
      <xdr:nvGraphicFramePr>
        <xdr:cNvPr id="26" name="Chart 25">
          <a:extLst>
            <a:ext uri="{FF2B5EF4-FFF2-40B4-BE49-F238E27FC236}">
              <a16:creationId xmlns:a16="http://schemas.microsoft.com/office/drawing/2014/main" id="{677D9CFF-F974-44F7-B8F8-B59CB0951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424962</xdr:colOff>
      <xdr:row>0</xdr:row>
      <xdr:rowOff>73269</xdr:rowOff>
    </xdr:from>
    <xdr:to>
      <xdr:col>4</xdr:col>
      <xdr:colOff>29309</xdr:colOff>
      <xdr:row>6</xdr:row>
      <xdr:rowOff>73268</xdr:rowOff>
    </xdr:to>
    <xdr:graphicFrame macro="">
      <xdr:nvGraphicFramePr>
        <xdr:cNvPr id="28" name="Chart 27">
          <a:extLst>
            <a:ext uri="{FF2B5EF4-FFF2-40B4-BE49-F238E27FC236}">
              <a16:creationId xmlns:a16="http://schemas.microsoft.com/office/drawing/2014/main" id="{538C71AC-FF29-496B-B438-34C34B4C4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29308</xdr:colOff>
      <xdr:row>7</xdr:row>
      <xdr:rowOff>43963</xdr:rowOff>
    </xdr:from>
    <xdr:to>
      <xdr:col>12</xdr:col>
      <xdr:colOff>468923</xdr:colOff>
      <xdr:row>16</xdr:row>
      <xdr:rowOff>124558</xdr:rowOff>
    </xdr:to>
    <xdr:graphicFrame macro="">
      <xdr:nvGraphicFramePr>
        <xdr:cNvPr id="27" name="Chart 26">
          <a:extLst>
            <a:ext uri="{FF2B5EF4-FFF2-40B4-BE49-F238E27FC236}">
              <a16:creationId xmlns:a16="http://schemas.microsoft.com/office/drawing/2014/main" id="{5A49E5F7-9C75-49AD-8B4C-4C377DF28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161192</xdr:colOff>
      <xdr:row>2</xdr:row>
      <xdr:rowOff>183174</xdr:rowOff>
    </xdr:from>
    <xdr:to>
      <xdr:col>1</xdr:col>
      <xdr:colOff>205152</xdr:colOff>
      <xdr:row>3</xdr:row>
      <xdr:rowOff>153866</xdr:rowOff>
    </xdr:to>
    <xdr:sp macro="" textlink="">
      <xdr:nvSpPr>
        <xdr:cNvPr id="30" name="TextBox 29">
          <a:extLst>
            <a:ext uri="{FF2B5EF4-FFF2-40B4-BE49-F238E27FC236}">
              <a16:creationId xmlns:a16="http://schemas.microsoft.com/office/drawing/2014/main" id="{CBE79638-92EB-6BD9-29A2-261424DC38C5}"/>
            </a:ext>
          </a:extLst>
        </xdr:cNvPr>
        <xdr:cNvSpPr txBox="1"/>
      </xdr:nvSpPr>
      <xdr:spPr>
        <a:xfrm>
          <a:off x="161192" y="564174"/>
          <a:ext cx="652095" cy="16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 b="1">
              <a:solidFill>
                <a:sysClr val="windowText" lastClr="000000"/>
              </a:solidFill>
            </a:rPr>
            <a:t>Select Month</a:t>
          </a:r>
        </a:p>
      </xdr:txBody>
    </xdr:sp>
    <xdr:clientData/>
  </xdr:twoCellAnchor>
  <mc:AlternateContent xmlns:mc="http://schemas.openxmlformats.org/markup-compatibility/2006">
    <mc:Choice xmlns:a14="http://schemas.microsoft.com/office/drawing/2010/main" Requires="a14">
      <xdr:twoCellAnchor editAs="oneCell">
        <xdr:from>
          <xdr:col>1</xdr:col>
          <xdr:colOff>395651</xdr:colOff>
          <xdr:row>7</xdr:row>
          <xdr:rowOff>11283</xdr:rowOff>
        </xdr:from>
        <xdr:to>
          <xdr:col>7</xdr:col>
          <xdr:colOff>483577</xdr:colOff>
          <xdr:row>10</xdr:row>
          <xdr:rowOff>9525</xdr:rowOff>
        </xdr:to>
        <xdr:pic>
          <xdr:nvPicPr>
            <xdr:cNvPr id="32" name="Picture 31">
              <a:extLst>
                <a:ext uri="{FF2B5EF4-FFF2-40B4-BE49-F238E27FC236}">
                  <a16:creationId xmlns:a16="http://schemas.microsoft.com/office/drawing/2014/main" id="{8E8B2C19-6C09-3413-6445-F03627A5E3D0}"/>
                </a:ext>
              </a:extLst>
            </xdr:cNvPr>
            <xdr:cNvPicPr>
              <a:picLocks noChangeAspect="1" noChangeArrowheads="1"/>
              <a:extLst>
                <a:ext uri="{84589F7E-364E-4C9E-8A38-B11213B215E9}">
                  <a14:cameraTool cellRange="'Pivot Report'!$A$44:$D$46" spid="_x0000_s2084"/>
                </a:ext>
              </a:extLst>
            </xdr:cNvPicPr>
          </xdr:nvPicPr>
          <xdr:blipFill>
            <a:blip xmlns:r="http://schemas.openxmlformats.org/officeDocument/2006/relationships" r:embed="rId12"/>
            <a:srcRect/>
            <a:stretch>
              <a:fillRect/>
            </a:stretch>
          </xdr:blipFill>
          <xdr:spPr bwMode="auto">
            <a:xfrm>
              <a:off x="1003786" y="1344783"/>
              <a:ext cx="3736733" cy="56974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79130</xdr:colOff>
      <xdr:row>0</xdr:row>
      <xdr:rowOff>51289</xdr:rowOff>
    </xdr:from>
    <xdr:to>
      <xdr:col>1</xdr:col>
      <xdr:colOff>226995</xdr:colOff>
      <xdr:row>2</xdr:row>
      <xdr:rowOff>138289</xdr:rowOff>
    </xdr:to>
    <mc:AlternateContent xmlns:mc="http://schemas.openxmlformats.org/markup-compatibility/2006" xmlns:a14="http://schemas.microsoft.com/office/drawing/2010/main">
      <mc:Choice Requires="a14">
        <xdr:graphicFrame macro="">
          <xdr:nvGraphicFramePr>
            <xdr:cNvPr id="33" name="Date (Year)">
              <a:extLst>
                <a:ext uri="{FF2B5EF4-FFF2-40B4-BE49-F238E27FC236}">
                  <a16:creationId xmlns:a16="http://schemas.microsoft.com/office/drawing/2014/main" id="{E1DB4A8D-6800-44FA-9952-A5BB767BC5E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79130" y="51289"/>
              <a:ext cx="756000" cy="46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159726</xdr:colOff>
      <xdr:row>1</xdr:row>
      <xdr:rowOff>167055</xdr:rowOff>
    </xdr:from>
    <xdr:to>
      <xdr:col>1</xdr:col>
      <xdr:colOff>203686</xdr:colOff>
      <xdr:row>2</xdr:row>
      <xdr:rowOff>137747</xdr:rowOff>
    </xdr:to>
    <xdr:sp macro="" textlink="">
      <xdr:nvSpPr>
        <xdr:cNvPr id="35" name="TextBox 34">
          <a:extLst>
            <a:ext uri="{FF2B5EF4-FFF2-40B4-BE49-F238E27FC236}">
              <a16:creationId xmlns:a16="http://schemas.microsoft.com/office/drawing/2014/main" id="{F65D6939-1D4E-45E8-A63F-1467842DFCBF}"/>
            </a:ext>
          </a:extLst>
        </xdr:cNvPr>
        <xdr:cNvSpPr txBox="1"/>
      </xdr:nvSpPr>
      <xdr:spPr>
        <a:xfrm>
          <a:off x="159726" y="357555"/>
          <a:ext cx="652095" cy="16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 b="1">
              <a:solidFill>
                <a:sysClr val="windowText" lastClr="000000"/>
              </a:solidFill>
            </a:rPr>
            <a:t>Select Year</a:t>
          </a:r>
        </a:p>
      </xdr:txBody>
    </xdr:sp>
    <xdr:clientData/>
  </xdr:twoCellAnchor>
  <xdr:twoCellAnchor>
    <xdr:from>
      <xdr:col>6</xdr:col>
      <xdr:colOff>328247</xdr:colOff>
      <xdr:row>1</xdr:row>
      <xdr:rowOff>130421</xdr:rowOff>
    </xdr:from>
    <xdr:to>
      <xdr:col>7</xdr:col>
      <xdr:colOff>586155</xdr:colOff>
      <xdr:row>2</xdr:row>
      <xdr:rowOff>124560</xdr:rowOff>
    </xdr:to>
    <xdr:sp macro="" textlink="">
      <xdr:nvSpPr>
        <xdr:cNvPr id="36" name="TextBox 35">
          <a:extLst>
            <a:ext uri="{FF2B5EF4-FFF2-40B4-BE49-F238E27FC236}">
              <a16:creationId xmlns:a16="http://schemas.microsoft.com/office/drawing/2014/main" id="{38610FB0-48FF-4CFA-8537-3B275D399FB1}"/>
            </a:ext>
          </a:extLst>
        </xdr:cNvPr>
        <xdr:cNvSpPr txBox="1"/>
      </xdr:nvSpPr>
      <xdr:spPr>
        <a:xfrm>
          <a:off x="3977055" y="320921"/>
          <a:ext cx="866042" cy="184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solidFill>
                <a:srgbClr val="002060"/>
              </a:solidFill>
            </a:rPr>
            <a:t>Monthly Report</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474388078706" backgroundQuery="1" createdVersion="8" refreshedVersion="8" minRefreshableVersion="3" recordCount="0" supportSubquery="1" supportAdvancedDrill="1" xr:uid="{13142E0D-5688-40AE-A8EF-FCA156E3A18A}">
  <cacheSource type="external" connectionId="3"/>
  <cacheFields count="4">
    <cacheField name="[Measures].[Distinct Count of Patient Id]" caption="Distinct Count of Patient Id" numFmtId="0" hierarchy="25" level="32767"/>
    <cacheField name="[Calendar Table].[Date (Day)].[Date (Day)]" caption="Date (Day)" numFmtId="0" hierarchy="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 Table].[Date (Month)].[Date (Month)]" caption="Date (Month)" numFmtId="0" hierarchy="3" level="1">
      <sharedItems containsSemiMixedTypes="0" containsNonDate="0" containsString="0"/>
    </cacheField>
    <cacheField name="[Calendar Table].[Date (Year)].[Date (Year)]" caption="Date (Year)" numFmtId="0" hierarchy="1"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474388310184" backgroundQuery="1" createdVersion="8" refreshedVersion="8" minRefreshableVersion="3" recordCount="0" supportSubquery="1" supportAdvancedDrill="1" xr:uid="{E1C22740-0E0C-41FC-BD68-9F5BE8E318B2}">
  <cacheSource type="external" connectionId="3"/>
  <cacheFields count="3">
    <cacheField name="[Measures].[Distinct Count of Patient Id]" caption="Distinct Count of Patient Id" numFmtId="0" hierarchy="25" level="32767"/>
    <cacheField name="[Calendar Table].[Date (Month)].[Date (Month)]" caption="Date (Month)" numFmtId="0" hierarchy="3" level="1">
      <sharedItems containsSemiMixedTypes="0" containsNonDate="0" containsString="0"/>
    </cacheField>
    <cacheField name="[Calendar Table].[Date (Year)].[Date (Year)]" caption="Date (Year)" numFmtId="0" hierarchy="1"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474388425922" backgroundQuery="1" createdVersion="8" refreshedVersion="8" minRefreshableVersion="3" recordCount="0" supportSubquery="1" supportAdvancedDrill="1" xr:uid="{4DFD832F-3009-4C37-A269-C5259B8CB8A5}">
  <cacheSource type="external" connectionId="3"/>
  <cacheFields count="3">
    <cacheField name="[Measures].[Average of Patient Waittime]" caption="Average of Patient Waittime" numFmtId="0" hierarchy="27" level="32767"/>
    <cacheField name="[Calendar Table].[Date (Month)].[Date (Month)]" caption="Date (Month)" numFmtId="0" hierarchy="3" level="1">
      <sharedItems containsSemiMixedTypes="0" containsNonDate="0" containsString="0"/>
    </cacheField>
    <cacheField name="[Calendar Table].[Date (Year)].[Date (Year)]" caption="Date (Year)" numFmtId="0" hierarchy="1"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474388657407" backgroundQuery="1" createdVersion="8" refreshedVersion="8" minRefreshableVersion="3" recordCount="0" supportSubquery="1" supportAdvancedDrill="1" xr:uid="{75DF5952-85BB-4777-B6E9-76EF0B75658F}">
  <cacheSource type="external" connectionId="3"/>
  <cacheFields count="3">
    <cacheField name="[Measures].[Average of Patient Satisfaction Score]" caption="Average of Patient Satisfaction Score" numFmtId="0" hierarchy="29" level="32767"/>
    <cacheField name="[Calendar Table].[Date (Month)].[Date (Month)]" caption="Date (Month)" numFmtId="0" hierarchy="3" level="1">
      <sharedItems containsSemiMixedTypes="0" containsNonDate="0" containsString="0"/>
    </cacheField>
    <cacheField name="[Calendar Table].[Date (Year)].[Date (Year)]" caption="Date (Year)" numFmtId="0" hierarchy="1"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474389120369" backgroundQuery="1" createdVersion="8" refreshedVersion="8" minRefreshableVersion="3" recordCount="0" supportSubquery="1" supportAdvancedDrill="1" xr:uid="{067C013B-9750-43D7-A348-320EEE176C2A}">
  <cacheSource type="external" connectionId="3"/>
  <cacheFields count="4">
    <cacheField name="[Calendar Table].[Date (Day)].[Date (Day)]" caption="Date (Day)" numFmtId="0" hierarchy="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 Table].[Date (Month)].[Date (Month)]" caption="Date (Month)" numFmtId="0" hierarchy="3" level="1">
      <sharedItems containsSemiMixedTypes="0" containsNonDate="0" containsString="0"/>
    </cacheField>
    <cacheField name="[Measures].[Average of Patient Waittime]" caption="Average of Patient Waittime" numFmtId="0" hierarchy="27" level="32767"/>
    <cacheField name="[Calendar Table].[Date (Year)].[Date (Year)]" caption="Date (Year)" numFmtId="0" hierarchy="1"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474389699077" backgroundQuery="1" createdVersion="8" refreshedVersion="8" minRefreshableVersion="3" recordCount="0" supportSubquery="1" supportAdvancedDrill="1" xr:uid="{FC673922-18CE-4502-A832-B8BEEB6E0822}">
  <cacheSource type="external" connectionId="3"/>
  <cacheFields count="4">
    <cacheField name="[Calendar Table].[Date (Day)].[Date (Day)]" caption="Date (Day)" numFmtId="0" hierarchy="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 Table].[Date (Month)].[Date (Month)]" caption="Date (Month)" numFmtId="0" hierarchy="3" level="1">
      <sharedItems containsSemiMixedTypes="0" containsNonDate="0" containsString="0"/>
    </cacheField>
    <cacheField name="[Measures].[Sum of Patient Satisfaction Score]" caption="Sum of Patient Satisfaction Score" numFmtId="0" hierarchy="28" level="32767"/>
    <cacheField name="[Calendar Table].[Date (Year)].[Date (Year)]" caption="Date (Year)" numFmtId="0" hierarchy="1"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474390162039" backgroundQuery="1" createdVersion="8" refreshedVersion="8" minRefreshableVersion="3" recordCount="0" supportSubquery="1" supportAdvancedDrill="1" xr:uid="{F2FBDADC-83B8-455D-ADE6-8974915E17BF}">
  <cacheSource type="external" connectionId="3"/>
  <cacheFields count="5">
    <cacheField name="[Calendar Table].[Date (Month)].[Date (Month)]" caption="Date (Month)" numFmtId="0" hierarchy="3"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 Table].[Date (Year)].[Date (Year)]" caption="Date (Year)" numFmtId="0" hierarchy="1"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474390740739" backgroundQuery="1" createdVersion="8" refreshedVersion="8" minRefreshableVersion="3" recordCount="0" supportSubquery="1" supportAdvancedDrill="1" xr:uid="{0297F753-92D8-4D0B-90C6-F177929CEBDD}">
  <cacheSource type="external" connectionId="3"/>
  <cacheFields count="4">
    <cacheField name="[Calendar Table].[Date (Month)].[Date (Month)]" caption="Date (Month)" numFmtId="0" hierarchy="3" level="1">
      <sharedItems containsSemiMixedTypes="0" containsNonDate="0" containsString="0"/>
    </cacheField>
    <cacheField name="[Measures].[Count of Patient Id]" caption="Count of Patient Id" numFmtId="0" hierarchy="24" level="32767"/>
    <cacheField name="[Hospital Emergency Room Data].[Age_Group].[Age_Group]" caption="Age_Group" numFmtId="0" hierarchy="17" level="1">
      <sharedItems count="8">
        <s v="0-9"/>
        <s v="10-19"/>
        <s v="20-29"/>
        <s v="30-39"/>
        <s v="40-49"/>
        <s v="50-59"/>
        <s v="60-69"/>
        <s v="70-79"/>
      </sharedItems>
    </cacheField>
    <cacheField name="[Calendar Table].[Date (Year)].[Date (Year)]" caption="Date (Year)" numFmtId="0" hierarchy="1"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2"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474391319447" backgroundQuery="1" createdVersion="8" refreshedVersion="8" minRefreshableVersion="3" recordCount="0" supportSubquery="1" supportAdvancedDrill="1" xr:uid="{B3C2E4BE-2E67-4A5A-9F65-C2A400CDB76A}">
  <cacheSource type="external" connectionId="3"/>
  <cacheFields count="4">
    <cacheField name="[Calendar Table].[Date (Month)].[Date (Month)]" caption="Date (Month)" numFmtId="0" hierarchy="3" level="1">
      <sharedItems containsSemiMixedTypes="0" containsNonDate="0" containsString="0"/>
    </cacheField>
    <cacheField name="[Hospital Emergency Room Data].[Patient Attend Status].[Patient Attend Status]" caption="Patient Attend Status" numFmtId="0" hierarchy="18" level="1">
      <sharedItems count="2">
        <s v="Delay"/>
        <s v="On Time"/>
      </sharedItems>
    </cacheField>
    <cacheField name="[Measures].[Count of Patient Attend Status]" caption="Count of Patient Attend Status" numFmtId="0" hierarchy="31" level="32767"/>
    <cacheField name="[Calendar Table].[Date (Year)].[Date (Year)]" caption="Date (Year)" numFmtId="0" hierarchy="1"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474391782409" backgroundQuery="1" createdVersion="8" refreshedVersion="8" minRefreshableVersion="3" recordCount="0" supportSubquery="1" supportAdvancedDrill="1" xr:uid="{63EED7B1-C530-444C-83AD-EB77073886C3}">
  <cacheSource type="external" connectionId="3"/>
  <cacheFields count="4">
    <cacheField name="[Calendar Table].[Date (Month)].[Date (Month)]" caption="Date (Month)" numFmtId="0" hierarchy="3" level="1">
      <sharedItems containsSemiMixedTypes="0" containsNonDate="0" containsString="0"/>
    </cacheField>
    <cacheField name="[Measures].[Count of Patient Id]" caption="Count of Patient Id" numFmtId="0" hierarchy="24" level="32767"/>
    <cacheField name="[Hospital Emergency Room Data].[Patient Gender].[Patient Gender]" caption="Patient Gender" numFmtId="0" hierarchy="9" level="1">
      <sharedItems count="2">
        <s v="Female"/>
        <s v="Male"/>
      </sharedItems>
    </cacheField>
    <cacheField name="[Calendar Table].[Date (Year)].[Date (Year)]" caption="Date (Year)" numFmtId="0" hierarchy="1"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474392245371" backgroundQuery="1" createdVersion="8" refreshedVersion="8" minRefreshableVersion="3" recordCount="0" supportSubquery="1" supportAdvancedDrill="1" xr:uid="{10C0B10E-49C8-4442-8011-6CCCEA69727C}">
  <cacheSource type="external" connectionId="3"/>
  <cacheFields count="4">
    <cacheField name="[Calendar Table].[Date (Month)].[Date (Month)]" caption="Date (Month)"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ar Table].[Date (Year)].[Date (Year)]" caption="Date (Year)" numFmtId="0" hierarchy="1"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8.474392708333" backgroundQuery="1" createdVersion="8" refreshedVersion="8" minRefreshableVersion="3" recordCount="0" supportSubquery="1" supportAdvancedDrill="1" xr:uid="{BE3BEBA1-2577-45AA-96E8-27C41504E5AE}">
  <cacheSource type="external" connectionId="3"/>
  <cacheFields count="2">
    <cacheField name="[Calendar Table].[Date (Month)].[Date (Month)]" caption="Date (Month)" numFmtId="0" hierarchy="3" level="1">
      <sharedItems containsSemiMixedTypes="0" containsNonDate="0" containsString="0"/>
    </cacheField>
    <cacheField name="[Calendar Table].[Date (Year)].[Date (Year)]" caption="Date (Year)" numFmtId="0" hierarchy="1" level="1">
      <sharedItems count="1">
        <s v="2024"/>
      </sharedItems>
    </cacheField>
  </cacheFields>
  <cacheHierarchies count="33">
    <cacheHierarchy uniqueName="[Calendar Table].[Date]" caption="Date" attribute="1" time="1" defaultMemberUniqueName="[Calendar Table].[Date].[All]" allUniqueName="[Calendar Table].[Date].[All]" dimensionUniqueName="[Calendar Table]" displayFolder="" count="2"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1"/>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1.657651967595" backgroundQuery="1" createdVersion="3" refreshedVersion="8" minRefreshableVersion="3" recordCount="0" supportSubquery="1" supportAdvancedDrill="1" xr:uid="{86369EDD-A116-41F7-95B1-D364529DCC53}">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993729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B8138A-2966-4BEE-B87F-86A716268921}" name="PivotTable12" cacheId="11" applyNumberFormats="0" applyBorderFormats="0" applyFontFormats="0" applyPatternFormats="0" applyAlignmentFormats="0" applyWidthHeightFormats="1" dataCaption="Values" tag="2841a325-4d47-4391-8080-db8f3b6a4a0c" updatedVersion="8" minRefreshableVersion="3" subtotalHiddenItems="1" itemPrintTitles="1" createdVersion="8" indent="0" outline="1" outlineData="1" multipleFieldFilters="0" chartFormat="37">
  <location ref="L49:L51"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0">
      <pivotArea outline="0" collapsedLevelsAreSubtotals="1" fieldPosition="0"/>
    </format>
  </formats>
  <pivotHierarchies count="33">
    <pivotHierarchy dragToData="1"/>
    <pivotHierarchy multipleItemSelectionAllowed="1" dragToData="1"/>
    <pivotHierarchy dragToData="1"/>
    <pivotHierarchy multipleItemSelectionAllowed="1" dragToData="1">
      <members count="1" level="1">
        <member name="[Calenda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135C4D-6B89-4C7E-AD96-9AEE196A4BF1}" name="PivotTable11" cacheId="10" applyNumberFormats="0" applyBorderFormats="0" applyFontFormats="0" applyPatternFormats="0" applyAlignmentFormats="0" applyWidthHeightFormats="1" dataCaption="Values" tag="2841a325-4d47-4391-8080-db8f3b6a4a0c" updatedVersion="8" minRefreshableVersion="3" subtotalHiddenItems="1" itemPrintTitles="1" createdVersion="8" indent="0" outline="1" outlineData="1" multipleFieldFilters="0" chartFormat="37">
  <location ref="I49:J5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2">
      <pivotArea outline="0" collapsedLevelsAreSubtotals="1" fieldPosition="0"/>
    </format>
    <format dxfId="1">
      <pivotArea collapsedLevelsAreSubtotals="1" fieldPosition="0">
        <references count="1">
          <reference field="1" count="0"/>
        </references>
      </pivotArea>
    </format>
  </formats>
  <chartFormats count="1">
    <chartFormat chart="36"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7B87E6-691B-484C-9A32-60E381585833}" name="PivotTable8" cacheId="7" applyNumberFormats="0" applyBorderFormats="0" applyFontFormats="0" applyPatternFormats="0" applyAlignmentFormats="0" applyWidthHeightFormats="1" dataCaption="Values" tag="2841a325-4d47-4391-8080-db8f3b6a4a0c" updatedVersion="8" minRefreshableVersion="3" subtotalHiddenItems="1" itemPrintTitles="1" createdVersion="8" indent="0" outline="1" outlineData="1" multipleFieldFilters="0" chartFormat="11">
  <location ref="F44:G5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Patient Id" fld="1" subtotal="count" baseField="0" baseItem="0"/>
  </dataFields>
  <formats count="2">
    <format dxfId="4">
      <pivotArea outline="0" collapsedLevelsAreSubtotals="1" fieldPosition="0"/>
    </format>
    <format dxfId="3">
      <pivotArea collapsedLevelsAreSubtotals="1" fieldPosition="0">
        <references count="1">
          <reference field="2" count="0"/>
        </references>
      </pivotArea>
    </format>
  </formats>
  <chartFormats count="2">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A463FF-17FE-4AB9-9E8C-57821C67FA6A}" name="PivotTable2" cacheId="2" applyNumberFormats="0" applyBorderFormats="0" applyFontFormats="0" applyPatternFormats="0" applyAlignmentFormats="0" applyWidthHeightFormats="1" dataCaption="Values" tag="6bf7bb6f-2924-4934-bb33-82eb826829fa" updatedVersion="8" minRefreshableVersion="3" subtotalHiddenItems="1" itemPrintTitles="1" createdVersion="8"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
      <pivotArea outline="0" collapsedLevelsAreSubtotals="1" fieldPosition="0"/>
    </format>
  </formats>
  <pivotHierarchies count="33">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F58C66-CDC9-46AD-8D27-9C291FA679C9}" name="PivotTable9" cacheId="8" applyNumberFormats="0" applyBorderFormats="0" applyFontFormats="0" applyPatternFormats="0" applyAlignmentFormats="0" applyWidthHeightFormats="1" dataCaption="Values" tag="2841a325-4d47-4391-8080-db8f3b6a4a0c" updatedVersion="8" minRefreshableVersion="3" subtotalHiddenItems="1" itemPrintTitles="1" createdVersion="8" indent="0" outline="1" outlineData="1" multipleFieldFilters="0" chartFormat="33">
  <location ref="I44:J4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7">
      <pivotArea outline="0" collapsedLevelsAreSubtotals="1" fieldPosition="0"/>
    </format>
    <format dxfId="6">
      <pivotArea collapsedLevelsAreSubtotals="1" fieldPosition="0">
        <references count="1">
          <reference field="1" count="0"/>
        </references>
      </pivotArea>
    </format>
  </formats>
  <chartFormats count="6">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1" count="1" selected="0">
            <x v="0"/>
          </reference>
        </references>
      </pivotArea>
    </chartFormat>
    <chartFormat chart="13" format="3">
      <pivotArea type="data" outline="0" fieldPosition="0">
        <references count="2">
          <reference field="4294967294" count="1" selected="0">
            <x v="0"/>
          </reference>
          <reference field="1" count="1" selected="0">
            <x v="1"/>
          </reference>
        </references>
      </pivotArea>
    </chartFormat>
    <chartFormat chart="14" format="13" series="1">
      <pivotArea type="data" outline="0" fieldPosition="0">
        <references count="1">
          <reference field="4294967294" count="1" selected="0">
            <x v="0"/>
          </reference>
        </references>
      </pivotArea>
    </chartFormat>
    <chartFormat chart="14" format="14">
      <pivotArea type="data" outline="0" fieldPosition="0">
        <references count="2">
          <reference field="4294967294" count="1" selected="0">
            <x v="0"/>
          </reference>
          <reference field="1" count="1" selected="0">
            <x v="0"/>
          </reference>
        </references>
      </pivotArea>
    </chartFormat>
    <chartFormat chart="14" format="15">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BD8DD1-3030-4609-B85D-EB4D4847DC52}" name="PivotTable7" cacheId="6" applyNumberFormats="0" applyBorderFormats="0" applyFontFormats="0" applyPatternFormats="0" applyAlignmentFormats="0" applyWidthHeightFormats="1" dataCaption="Values" tag="2841a325-4d47-4391-8080-db8f3b6a4a0c" updatedVersion="8" minRefreshableVersion="3" subtotalHiddenItems="1" itemPrintTitles="1" createdVersion="8" indent="0" outline="1" outlineData="1" multipleFieldFilters="0" chartFormat="6">
  <location ref="A39:C4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10">
      <pivotArea outline="0" collapsedLevelsAreSubtotals="1" fieldPosition="0"/>
    </format>
    <format dxfId="9">
      <pivotArea collapsedLevelsAreSubtotals="1" fieldPosition="0">
        <references count="1">
          <reference field="1" count="0"/>
        </references>
      </pivotArea>
    </format>
    <format dxfId="8">
      <pivotArea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4FA42E-3182-4D94-98AB-B701B471F397}" name="PivotTable10" cacheId="9" applyNumberFormats="0" applyBorderFormats="0" applyFontFormats="0" applyPatternFormats="0" applyAlignmentFormats="0" applyWidthHeightFormats="1" dataCaption="Values" tag="2841a325-4d47-4391-8080-db8f3b6a4a0c" updatedVersion="8" minRefreshableVersion="3" subtotalHiddenItems="1" itemPrintTitles="1" createdVersion="8" indent="0" outline="1" outlineData="1" multipleFieldFilters="0" chartFormat="36">
  <location ref="I39:J4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2">
    <format dxfId="12">
      <pivotArea outline="0" collapsedLevelsAreSubtotals="1" fieldPosition="0"/>
    </format>
    <format dxfId="11">
      <pivotArea collapsedLevelsAreSubtotals="1" fieldPosition="0">
        <references count="1">
          <reference field="2" count="0"/>
        </references>
      </pivotArea>
    </format>
  </formats>
  <chartFormats count="7">
    <chartFormat chart="29"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1" format="2">
      <pivotArea type="data" outline="0" fieldPosition="0">
        <references count="2">
          <reference field="4294967294" count="1" selected="0">
            <x v="0"/>
          </reference>
          <reference field="2" count="1" selected="0">
            <x v="0"/>
          </reference>
        </references>
      </pivotArea>
    </chartFormat>
    <chartFormat chart="31" format="3">
      <pivotArea type="data" outline="0" fieldPosition="0">
        <references count="2">
          <reference field="4294967294" count="1" selected="0">
            <x v="0"/>
          </reference>
          <reference field="2" count="1" selected="0">
            <x v="1"/>
          </reference>
        </references>
      </pivotArea>
    </chartFormat>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2" count="1" selected="0">
            <x v="0"/>
          </reference>
        </references>
      </pivotArea>
    </chartFormat>
    <chartFormat chart="32" format="6">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D5ACB1-9E6F-4477-81A2-70B94046D39E}" name="PivotTable6" cacheId="5" applyNumberFormats="0" applyBorderFormats="0" applyFontFormats="0" applyPatternFormats="0" applyAlignmentFormats="0" applyWidthHeightFormats="1" dataCaption="Values" tag="6bf7bb6f-2924-4934-bb33-82eb826829fa" updatedVersion="8" minRefreshableVersion="3" subtotalHiddenItems="1" itemPrintTitles="1" createdVersion="8" indent="0" outline="1" outlineData="1" multipleFieldFilters="0" chartFormat="43">
  <location ref="J6:K38" firstHeaderRow="1" firstDataRow="1" firstDataCol="1"/>
  <pivotFields count="4">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Patient Satisfaction Score" fld="2" baseField="0" baseItem="0" numFmtId="1"/>
  </dataFields>
  <formats count="2">
    <format dxfId="14">
      <pivotArea collapsedLevelsAreSubtotals="1" fieldPosition="0">
        <references count="1">
          <reference field="0" count="1">
            <x v="0"/>
          </reference>
        </references>
      </pivotArea>
    </format>
    <format dxfId="13">
      <pivotArea outline="0" collapsedLevelsAreSubtotals="1" fieldPosition="0"/>
    </format>
  </formats>
  <chartFormats count="3">
    <chartFormat chart="38" format="2"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3BC6D9-888A-45F4-93C1-D84108936035}" name="PivotTable1" cacheId="1" applyNumberFormats="0" applyBorderFormats="0" applyFontFormats="0" applyPatternFormats="0" applyAlignmentFormats="0" applyWidthHeightFormats="1" dataCaption="Values" tag="47b8adc5-94cc-49ad-81ab-09e366a43670" updatedVersion="8" minRefreshableVersion="3"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44694C-C09D-4E88-8227-F5EB6761D7A3}" name="PivotTable5" cacheId="4" applyNumberFormats="0" applyBorderFormats="0" applyFontFormats="0" applyPatternFormats="0" applyAlignmentFormats="0" applyWidthHeightFormats="1" dataCaption="Values" tag="6bf7bb6f-2924-4934-bb33-82eb826829fa" updatedVersion="8" minRefreshableVersion="3" subtotalHiddenItems="1" itemPrintTitles="1" createdVersion="8" indent="0" outline="1" outlineData="1" multipleFieldFilters="0" chartFormat="36">
  <location ref="G7:H39" firstHeaderRow="1" firstDataRow="1" firstDataCol="1"/>
  <pivotFields count="4">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2">
    <format dxfId="16">
      <pivotArea outline="0" collapsedLevelsAreSubtotals="1" fieldPosition="0"/>
    </format>
    <format dxfId="15">
      <pivotArea collapsedLevelsAreSubtotals="1" fieldPosition="0">
        <references count="1">
          <reference field="0" count="1">
            <x v="0"/>
          </reference>
        </references>
      </pivotArea>
    </format>
  </formats>
  <chartFormats count="2">
    <chartFormat chart="27"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8560F7-C156-4A73-81AB-D157C998FC5C}" name="PivotTable4" cacheId="0" applyNumberFormats="0" applyBorderFormats="0" applyFontFormats="0" applyPatternFormats="0" applyAlignmentFormats="0" applyWidthHeightFormats="1" dataCaption="Values" tag="6bf7bb6f-2924-4934-bb33-82eb826829fa" updatedVersion="8" minRefreshableVersion="3" subtotalHiddenItems="1" itemPrintTitles="1" createdVersion="8" indent="0" outline="1" outlineData="1" multipleFieldFilters="0" chartFormat="24">
  <location ref="D7:E39" firstHeaderRow="1" firstDataRow="1" firstDataCol="1"/>
  <pivotFields count="4">
    <pivotField dataField="1" subtotalTop="0" showAll="0" defaultSubtotal="0"/>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1" baseItem="0" numFmtId="1">
      <extLst>
        <ext xmlns:x15="http://schemas.microsoft.com/office/spreadsheetml/2010/11/main" uri="{FABC7310-3BB5-11E1-824E-6D434824019B}">
          <x15:dataField isCountDistinct="1"/>
        </ext>
      </extLst>
    </dataField>
  </dataFields>
  <formats count="3">
    <format dxfId="19">
      <pivotArea outline="0" collapsedLevelsAreSubtotals="1" fieldPosition="0"/>
    </format>
    <format dxfId="18">
      <pivotArea collapsedLevelsAreSubtotals="1" fieldPosition="0">
        <references count="1">
          <reference field="1" count="1">
            <x v="0"/>
          </reference>
        </references>
      </pivotArea>
    </format>
    <format dxfId="17">
      <pivotArea outline="0" fieldPosition="0">
        <references count="1">
          <reference field="4294967294" count="1">
            <x v="0"/>
          </reference>
        </references>
      </pivotArea>
    </format>
  </formats>
  <chartFormats count="4">
    <chartFormat chart="10"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D5F0B6C-640C-40BA-A44F-77C319A4A8D6}" name="PivotTable3" cacheId="3" applyNumberFormats="0" applyBorderFormats="0" applyFontFormats="0" applyPatternFormats="0" applyAlignmentFormats="0" applyWidthHeightFormats="1" dataCaption="Values" tag="2841a325-4d47-4391-8080-db8f3b6a4a0c" updatedVersion="8" minRefreshableVersion="3" subtotalHiddenItems="1" itemPrintTitles="1" createdVersion="8"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0">
      <pivotArea outline="0" collapsedLevelsAreSubtotals="1" fieldPosition="0"/>
    </format>
  </formats>
  <pivotHierarchies count="33">
    <pivotHierarchy dragToData="1"/>
    <pivotHierarchy multipleItemSelectionAllowed="1" dragToData="1">
      <members count="1" level="1">
        <member name="[Calendar Table].[Date (Year)].&amp;[2024]"/>
      </members>
    </pivotHierarchy>
    <pivotHierarchy dragToData="1"/>
    <pivotHierarchy multipleItemSelectionAllowed="1" dragToData="1">
      <members count="1" level="1">
        <member name="[Calendar 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201E6E6-C321-44FD-9EB4-1912895AD10A}" sourceName="[Calendar 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99372993">
      <levels count="2">
        <level uniqueName="[Calendar Table].[Date (Month)].[(All)]" sourceCaption="(All)" count="0"/>
        <level uniqueName="[Calendar Table].[Date (Month)].[Date (Month)]" sourceCaption="Date (Month)" count="12">
          <ranges>
            <range startItem="0">
              <i n="[Calendar Table].[Date (Month)].&amp;[Jan]" c="Jan"/>
              <i n="[Calendar Table].[Date (Month)].&amp;[Feb]" c="Feb"/>
              <i n="[Calendar Table].[Date (Month)].&amp;[Mar]" c="Mar"/>
              <i n="[Calendar Table].[Date (Month)].&amp;[Apr]" c="Apr"/>
              <i n="[Calendar Table].[Date (Month)].&amp;[May]" c="May"/>
              <i n="[Calendar Table].[Date (Month)].&amp;[Jun]" c="Jun"/>
              <i n="[Calendar Table].[Date (Month)].&amp;[Jul]" c="Jul"/>
              <i n="[Calendar Table].[Date (Month)].&amp;[Aug]" c="Aug"/>
              <i n="[Calendar Table].[Date (Month)].&amp;[Sep]" c="Sep"/>
              <i n="[Calendar Table].[Date (Month)].&amp;[Oct]" c="Oct"/>
              <i n="[Calendar Table].[Date (Month)].&amp;[Nov]" c="Nov" nd="1"/>
              <i n="[Calendar Table].[Date (Month)].&amp;[Dec]" c="Dec" nd="1"/>
            </range>
          </ranges>
        </level>
      </levels>
      <selections count="1">
        <selection n="[Calendar 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4234FFB-E5B5-47B6-8179-CAC31B02414B}" sourceName="[Calendar Table].[Date (Year)]">
  <pivotTables>
    <pivotTable tabId="1" name="PivotTable8"/>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9"/>
  </pivotTables>
  <data>
    <olap pivotCacheId="199372993">
      <levels count="2">
        <level uniqueName="[Calendar Table].[Date (Year)].[(All)]" sourceCaption="(All)" count="0"/>
        <level uniqueName="[Calendar Table].[Date (Year)].[Date (Year)]" sourceCaption="Date (Year)" count="2" sortOrder="ascending">
          <ranges>
            <range startItem="0">
              <i n="[Calendar Table].[Date (Year)].&amp;[2024]" c="2024"/>
              <i n="[Calendar Table].[Date (Year)].&amp;[2023]" c="2023" nd="1"/>
            </range>
          </ranges>
        </level>
      </levels>
      <selections count="1">
        <selection n="[Calenda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A84D39F-B9F7-4485-BFFB-FDC77E647814}" cache="Slicer_Date__Month" caption="Date (Month)" showCaption="0" level="1" style="myStyle" rowHeight="162000"/>
  <slicer name="Date (Year)" xr10:uid="{DB057182-EEF3-47B9-A879-0220E5281EB1}" cache="Slicer_Date__Year" caption="Date (Year)" showCaption="0" level="1" style="myStyle" rowHeight="10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F3068-C2F5-4E89-B559-21B9B0224E69}">
  <dimension ref="A3:L58"/>
  <sheetViews>
    <sheetView topLeftCell="B23" zoomScaleNormal="100" workbookViewId="0">
      <selection activeCell="G47" sqref="G47"/>
    </sheetView>
  </sheetViews>
  <sheetFormatPr defaultRowHeight="15" x14ac:dyDescent="0.25"/>
  <cols>
    <col min="1" max="1" width="15.85546875" customWidth="1"/>
    <col min="2" max="2" width="13.5703125" customWidth="1"/>
    <col min="3" max="3" width="9.28515625" customWidth="1"/>
    <col min="4" max="4" width="18.42578125" customWidth="1"/>
    <col min="5" max="5" width="9" customWidth="1"/>
    <col min="7" max="7" width="13.140625" customWidth="1"/>
    <col min="8" max="8" width="20.140625" customWidth="1"/>
    <col min="10" max="10" width="16.42578125" customWidth="1"/>
    <col min="11" max="11" width="20.7109375" customWidth="1"/>
    <col min="13" max="13" width="14.140625" customWidth="1"/>
  </cols>
  <sheetData>
    <row r="3" spans="1:11" x14ac:dyDescent="0.25">
      <c r="A3" t="s">
        <v>1</v>
      </c>
    </row>
    <row r="4" spans="1:11" x14ac:dyDescent="0.25">
      <c r="A4" t="s">
        <v>0</v>
      </c>
    </row>
    <row r="5" spans="1:11" x14ac:dyDescent="0.25">
      <c r="A5">
        <v>513</v>
      </c>
    </row>
    <row r="6" spans="1:11" x14ac:dyDescent="0.25">
      <c r="J6" s="3" t="s">
        <v>5</v>
      </c>
      <c r="K6" t="s">
        <v>7</v>
      </c>
    </row>
    <row r="7" spans="1:11" x14ac:dyDescent="0.25">
      <c r="A7" t="s">
        <v>2</v>
      </c>
      <c r="D7" s="3" t="s">
        <v>5</v>
      </c>
      <c r="E7" t="s">
        <v>0</v>
      </c>
      <c r="G7" s="3" t="s">
        <v>5</v>
      </c>
      <c r="H7" t="s">
        <v>2</v>
      </c>
      <c r="J7" s="4" t="s">
        <v>40</v>
      </c>
      <c r="K7" s="5">
        <v>40</v>
      </c>
    </row>
    <row r="8" spans="1:11" x14ac:dyDescent="0.25">
      <c r="A8" s="1">
        <v>36.323586744639378</v>
      </c>
      <c r="D8" s="4" t="s">
        <v>40</v>
      </c>
      <c r="E8" s="5">
        <v>19</v>
      </c>
      <c r="G8" s="4" t="s">
        <v>40</v>
      </c>
      <c r="H8" s="1">
        <v>37.789473684210527</v>
      </c>
      <c r="J8" s="4" t="s">
        <v>41</v>
      </c>
      <c r="K8" s="5">
        <v>21</v>
      </c>
    </row>
    <row r="9" spans="1:11" x14ac:dyDescent="0.25">
      <c r="D9" s="4" t="s">
        <v>41</v>
      </c>
      <c r="E9" s="5">
        <v>14</v>
      </c>
      <c r="G9" s="4" t="s">
        <v>41</v>
      </c>
      <c r="H9" s="1">
        <v>38.214285714285715</v>
      </c>
      <c r="J9" s="4" t="s">
        <v>42</v>
      </c>
      <c r="K9" s="5">
        <v>9</v>
      </c>
    </row>
    <row r="10" spans="1:11" x14ac:dyDescent="0.25">
      <c r="D10" s="4" t="s">
        <v>42</v>
      </c>
      <c r="E10" s="5">
        <v>13</v>
      </c>
      <c r="G10" s="4" t="s">
        <v>42</v>
      </c>
      <c r="H10" s="1">
        <v>40.92307692307692</v>
      </c>
      <c r="J10" s="4" t="s">
        <v>43</v>
      </c>
      <c r="K10" s="5">
        <v>24</v>
      </c>
    </row>
    <row r="11" spans="1:11" x14ac:dyDescent="0.25">
      <c r="D11" s="4" t="s">
        <v>43</v>
      </c>
      <c r="E11" s="5">
        <v>22</v>
      </c>
      <c r="G11" s="4" t="s">
        <v>43</v>
      </c>
      <c r="H11" s="1">
        <v>34.5</v>
      </c>
      <c r="J11" s="4" t="s">
        <v>44</v>
      </c>
      <c r="K11" s="5">
        <v>31</v>
      </c>
    </row>
    <row r="12" spans="1:11" x14ac:dyDescent="0.25">
      <c r="D12" s="4" t="s">
        <v>44</v>
      </c>
      <c r="E12" s="5">
        <v>19</v>
      </c>
      <c r="G12" s="4" t="s">
        <v>44</v>
      </c>
      <c r="H12" s="1">
        <v>30.684210526315791</v>
      </c>
      <c r="J12" s="4" t="s">
        <v>45</v>
      </c>
      <c r="K12" s="5">
        <v>31</v>
      </c>
    </row>
    <row r="13" spans="1:11" x14ac:dyDescent="0.25">
      <c r="A13" t="s">
        <v>3</v>
      </c>
      <c r="D13" s="4" t="s">
        <v>45</v>
      </c>
      <c r="E13" s="5">
        <v>15</v>
      </c>
      <c r="G13" s="4" t="s">
        <v>45</v>
      </c>
      <c r="H13" s="1">
        <v>37.666666666666664</v>
      </c>
      <c r="J13" s="4" t="s">
        <v>46</v>
      </c>
      <c r="K13" s="5">
        <v>15</v>
      </c>
    </row>
    <row r="14" spans="1:11" x14ac:dyDescent="0.25">
      <c r="A14" s="1">
        <v>4.9591836734693882</v>
      </c>
      <c r="D14" s="4" t="s">
        <v>46</v>
      </c>
      <c r="E14" s="5">
        <v>12</v>
      </c>
      <c r="G14" s="4" t="s">
        <v>46</v>
      </c>
      <c r="H14" s="1">
        <v>36.083333333333336</v>
      </c>
      <c r="J14" s="4" t="s">
        <v>47</v>
      </c>
      <c r="K14" s="5">
        <v>39</v>
      </c>
    </row>
    <row r="15" spans="1:11" x14ac:dyDescent="0.25">
      <c r="D15" s="4" t="s">
        <v>47</v>
      </c>
      <c r="E15" s="5">
        <v>21</v>
      </c>
      <c r="G15" s="4" t="s">
        <v>47</v>
      </c>
      <c r="H15" s="1">
        <v>43.523809523809526</v>
      </c>
      <c r="J15" s="4" t="s">
        <v>48</v>
      </c>
      <c r="K15" s="5">
        <v>6</v>
      </c>
    </row>
    <row r="16" spans="1:11" x14ac:dyDescent="0.25">
      <c r="D16" s="4" t="s">
        <v>48</v>
      </c>
      <c r="E16" s="5">
        <v>12</v>
      </c>
      <c r="G16" s="4" t="s">
        <v>48</v>
      </c>
      <c r="H16" s="1">
        <v>29.5</v>
      </c>
      <c r="J16" s="4" t="s">
        <v>49</v>
      </c>
      <c r="K16" s="5">
        <v>9</v>
      </c>
    </row>
    <row r="17" spans="4:11" x14ac:dyDescent="0.25">
      <c r="D17" s="4" t="s">
        <v>49</v>
      </c>
      <c r="E17" s="5">
        <v>13</v>
      </c>
      <c r="G17" s="4" t="s">
        <v>49</v>
      </c>
      <c r="H17" s="1">
        <v>38.07692307692308</v>
      </c>
      <c r="J17" s="4" t="s">
        <v>50</v>
      </c>
      <c r="K17" s="5">
        <v>18</v>
      </c>
    </row>
    <row r="18" spans="4:11" x14ac:dyDescent="0.25">
      <c r="D18" s="4" t="s">
        <v>50</v>
      </c>
      <c r="E18" s="5">
        <v>13</v>
      </c>
      <c r="G18" s="4" t="s">
        <v>50</v>
      </c>
      <c r="H18" s="1">
        <v>35.846153846153847</v>
      </c>
      <c r="J18" s="4" t="s">
        <v>51</v>
      </c>
      <c r="K18" s="5">
        <v>26</v>
      </c>
    </row>
    <row r="19" spans="4:11" x14ac:dyDescent="0.25">
      <c r="D19" s="4" t="s">
        <v>51</v>
      </c>
      <c r="E19" s="5">
        <v>16</v>
      </c>
      <c r="G19" s="4" t="s">
        <v>51</v>
      </c>
      <c r="H19" s="1">
        <v>32.625</v>
      </c>
      <c r="J19" s="4" t="s">
        <v>52</v>
      </c>
      <c r="K19" s="5">
        <v>22</v>
      </c>
    </row>
    <row r="20" spans="4:11" x14ac:dyDescent="0.25">
      <c r="D20" s="4" t="s">
        <v>52</v>
      </c>
      <c r="E20" s="5">
        <v>20</v>
      </c>
      <c r="G20" s="4" t="s">
        <v>52</v>
      </c>
      <c r="H20" s="1">
        <v>39.200000000000003</v>
      </c>
      <c r="J20" s="4" t="s">
        <v>53</v>
      </c>
      <c r="K20" s="5">
        <v>38</v>
      </c>
    </row>
    <row r="21" spans="4:11" x14ac:dyDescent="0.25">
      <c r="D21" s="4" t="s">
        <v>53</v>
      </c>
      <c r="E21" s="5">
        <v>25</v>
      </c>
      <c r="G21" s="4" t="s">
        <v>53</v>
      </c>
      <c r="H21" s="1">
        <v>35.28</v>
      </c>
      <c r="J21" s="4" t="s">
        <v>54</v>
      </c>
      <c r="K21" s="5">
        <v>44</v>
      </c>
    </row>
    <row r="22" spans="4:11" x14ac:dyDescent="0.25">
      <c r="D22" s="4" t="s">
        <v>54</v>
      </c>
      <c r="E22" s="5">
        <v>20</v>
      </c>
      <c r="G22" s="4" t="s">
        <v>54</v>
      </c>
      <c r="H22" s="1">
        <v>32.549999999999997</v>
      </c>
      <c r="J22" s="4" t="s">
        <v>55</v>
      </c>
      <c r="K22" s="5">
        <v>35</v>
      </c>
    </row>
    <row r="23" spans="4:11" x14ac:dyDescent="0.25">
      <c r="D23" s="4" t="s">
        <v>55</v>
      </c>
      <c r="E23" s="5">
        <v>14</v>
      </c>
      <c r="G23" s="4" t="s">
        <v>55</v>
      </c>
      <c r="H23" s="1">
        <v>35.642857142857146</v>
      </c>
      <c r="J23" s="4" t="s">
        <v>56</v>
      </c>
      <c r="K23" s="5">
        <v>40</v>
      </c>
    </row>
    <row r="24" spans="4:11" x14ac:dyDescent="0.25">
      <c r="D24" s="4" t="s">
        <v>56</v>
      </c>
      <c r="E24" s="5">
        <v>17</v>
      </c>
      <c r="G24" s="4" t="s">
        <v>56</v>
      </c>
      <c r="H24" s="1">
        <v>38.764705882352942</v>
      </c>
      <c r="J24" s="4" t="s">
        <v>57</v>
      </c>
      <c r="K24" s="5">
        <v>16</v>
      </c>
    </row>
    <row r="25" spans="4:11" x14ac:dyDescent="0.25">
      <c r="D25" s="4" t="s">
        <v>57</v>
      </c>
      <c r="E25" s="5">
        <v>20</v>
      </c>
      <c r="G25" s="4" t="s">
        <v>57</v>
      </c>
      <c r="H25" s="1">
        <v>39.9</v>
      </c>
      <c r="J25" s="4" t="s">
        <v>58</v>
      </c>
      <c r="K25" s="5">
        <v>16</v>
      </c>
    </row>
    <row r="26" spans="4:11" x14ac:dyDescent="0.25">
      <c r="D26" s="4" t="s">
        <v>58</v>
      </c>
      <c r="E26" s="5">
        <v>10</v>
      </c>
      <c r="G26" s="4" t="s">
        <v>58</v>
      </c>
      <c r="H26" s="1">
        <v>41.6</v>
      </c>
      <c r="J26" s="4" t="s">
        <v>59</v>
      </c>
      <c r="K26" s="5">
        <v>39</v>
      </c>
    </row>
    <row r="27" spans="4:11" x14ac:dyDescent="0.25">
      <c r="D27" s="4" t="s">
        <v>59</v>
      </c>
      <c r="E27" s="5">
        <v>17</v>
      </c>
      <c r="G27" s="4" t="s">
        <v>59</v>
      </c>
      <c r="H27" s="1">
        <v>39.470588235294116</v>
      </c>
      <c r="J27" s="4" t="s">
        <v>60</v>
      </c>
      <c r="K27" s="5">
        <v>5</v>
      </c>
    </row>
    <row r="28" spans="4:11" x14ac:dyDescent="0.25">
      <c r="D28" s="4" t="s">
        <v>60</v>
      </c>
      <c r="E28" s="5">
        <v>15</v>
      </c>
      <c r="G28" s="4" t="s">
        <v>60</v>
      </c>
      <c r="H28" s="1">
        <v>27.733333333333334</v>
      </c>
      <c r="J28" s="4" t="s">
        <v>61</v>
      </c>
      <c r="K28" s="5">
        <v>32</v>
      </c>
    </row>
    <row r="29" spans="4:11" x14ac:dyDescent="0.25">
      <c r="D29" s="4" t="s">
        <v>61</v>
      </c>
      <c r="E29" s="5">
        <v>16</v>
      </c>
      <c r="G29" s="4" t="s">
        <v>61</v>
      </c>
      <c r="H29" s="1">
        <v>36.875</v>
      </c>
      <c r="J29" s="4" t="s">
        <v>62</v>
      </c>
      <c r="K29" s="5">
        <v>16</v>
      </c>
    </row>
    <row r="30" spans="4:11" x14ac:dyDescent="0.25">
      <c r="D30" s="4" t="s">
        <v>62</v>
      </c>
      <c r="E30" s="5">
        <v>18</v>
      </c>
      <c r="G30" s="4" t="s">
        <v>62</v>
      </c>
      <c r="H30" s="1">
        <v>40.333333333333336</v>
      </c>
      <c r="J30" s="4" t="s">
        <v>63</v>
      </c>
      <c r="K30" s="5">
        <v>15</v>
      </c>
    </row>
    <row r="31" spans="4:11" x14ac:dyDescent="0.25">
      <c r="D31" s="4" t="s">
        <v>63</v>
      </c>
      <c r="E31" s="5">
        <v>16</v>
      </c>
      <c r="G31" s="4" t="s">
        <v>63</v>
      </c>
      <c r="H31" s="1">
        <v>36.5</v>
      </c>
      <c r="J31" s="4" t="s">
        <v>64</v>
      </c>
      <c r="K31" s="5">
        <v>19</v>
      </c>
    </row>
    <row r="32" spans="4:11" x14ac:dyDescent="0.25">
      <c r="D32" s="4" t="s">
        <v>64</v>
      </c>
      <c r="E32" s="5">
        <v>15</v>
      </c>
      <c r="G32" s="4" t="s">
        <v>64</v>
      </c>
      <c r="H32" s="1">
        <v>32.866666666666667</v>
      </c>
      <c r="J32" s="4" t="s">
        <v>65</v>
      </c>
      <c r="K32" s="5">
        <v>10</v>
      </c>
    </row>
    <row r="33" spans="1:11" x14ac:dyDescent="0.25">
      <c r="D33" s="4" t="s">
        <v>65</v>
      </c>
      <c r="E33" s="5">
        <v>14</v>
      </c>
      <c r="G33" s="4" t="s">
        <v>65</v>
      </c>
      <c r="H33" s="1">
        <v>36.642857142857146</v>
      </c>
      <c r="J33" s="4" t="s">
        <v>66</v>
      </c>
      <c r="K33" s="5">
        <v>35</v>
      </c>
    </row>
    <row r="34" spans="1:11" x14ac:dyDescent="0.25">
      <c r="D34" s="4" t="s">
        <v>66</v>
      </c>
      <c r="E34" s="5">
        <v>16</v>
      </c>
      <c r="G34" s="4" t="s">
        <v>66</v>
      </c>
      <c r="H34" s="1">
        <v>36.5625</v>
      </c>
      <c r="J34" s="4" t="s">
        <v>67</v>
      </c>
      <c r="K34" s="5">
        <v>32</v>
      </c>
    </row>
    <row r="35" spans="1:11" x14ac:dyDescent="0.25">
      <c r="D35" s="4" t="s">
        <v>67</v>
      </c>
      <c r="E35" s="5">
        <v>20</v>
      </c>
      <c r="G35" s="4" t="s">
        <v>67</v>
      </c>
      <c r="H35" s="1">
        <v>32.15</v>
      </c>
      <c r="J35" s="4" t="s">
        <v>68</v>
      </c>
      <c r="K35" s="5">
        <v>24</v>
      </c>
    </row>
    <row r="36" spans="1:11" x14ac:dyDescent="0.25">
      <c r="D36" s="4" t="s">
        <v>68</v>
      </c>
      <c r="E36" s="5">
        <v>19</v>
      </c>
      <c r="G36" s="4" t="s">
        <v>68</v>
      </c>
      <c r="H36" s="1">
        <v>38.368421052631582</v>
      </c>
      <c r="J36" s="4" t="s">
        <v>69</v>
      </c>
      <c r="K36" s="5">
        <v>15</v>
      </c>
    </row>
    <row r="37" spans="1:11" x14ac:dyDescent="0.25">
      <c r="D37" s="4" t="s">
        <v>69</v>
      </c>
      <c r="E37" s="5">
        <v>14</v>
      </c>
      <c r="G37" s="4" t="s">
        <v>69</v>
      </c>
      <c r="H37" s="1">
        <v>33.071428571428569</v>
      </c>
      <c r="J37" s="4" t="s">
        <v>70</v>
      </c>
      <c r="K37" s="5">
        <v>7</v>
      </c>
    </row>
    <row r="38" spans="1:11" x14ac:dyDescent="0.25">
      <c r="D38" s="4" t="s">
        <v>70</v>
      </c>
      <c r="E38" s="5">
        <v>18</v>
      </c>
      <c r="G38" s="4" t="s">
        <v>70</v>
      </c>
      <c r="H38" s="1">
        <v>36.444444444444443</v>
      </c>
      <c r="J38" s="4" t="s">
        <v>4</v>
      </c>
      <c r="K38" s="5">
        <v>729</v>
      </c>
    </row>
    <row r="39" spans="1:11" x14ac:dyDescent="0.25">
      <c r="A39" s="3" t="s">
        <v>5</v>
      </c>
      <c r="B39" t="s">
        <v>11</v>
      </c>
      <c r="C39" t="s">
        <v>12</v>
      </c>
      <c r="D39" s="4" t="s">
        <v>4</v>
      </c>
      <c r="E39" s="5">
        <v>513</v>
      </c>
      <c r="G39" s="4" t="s">
        <v>4</v>
      </c>
      <c r="H39" s="1">
        <v>36.323586744639378</v>
      </c>
      <c r="I39" s="3" t="s">
        <v>5</v>
      </c>
      <c r="J39" t="s">
        <v>16</v>
      </c>
    </row>
    <row r="40" spans="1:11" x14ac:dyDescent="0.25">
      <c r="A40" s="4" t="s">
        <v>9</v>
      </c>
      <c r="B40" s="5">
        <v>269</v>
      </c>
      <c r="C40" s="6">
        <v>0.52436647173489281</v>
      </c>
      <c r="I40" s="4" t="s">
        <v>28</v>
      </c>
      <c r="J40" s="5">
        <v>241</v>
      </c>
    </row>
    <row r="41" spans="1:11" x14ac:dyDescent="0.25">
      <c r="A41" s="4" t="s">
        <v>8</v>
      </c>
      <c r="B41" s="5">
        <v>244</v>
      </c>
      <c r="C41" s="6">
        <v>0.47563352826510719</v>
      </c>
      <c r="I41" s="4" t="s">
        <v>29</v>
      </c>
      <c r="J41" s="5">
        <v>272</v>
      </c>
    </row>
    <row r="42" spans="1:11" x14ac:dyDescent="0.25">
      <c r="A42" s="4" t="s">
        <v>4</v>
      </c>
      <c r="B42" s="1">
        <v>513</v>
      </c>
      <c r="C42" s="6">
        <v>1</v>
      </c>
      <c r="I42" s="4" t="s">
        <v>4</v>
      </c>
      <c r="J42" s="1">
        <v>513</v>
      </c>
    </row>
    <row r="44" spans="1:11" x14ac:dyDescent="0.25">
      <c r="A44" s="8" t="s">
        <v>15</v>
      </c>
      <c r="B44" s="8" t="s">
        <v>13</v>
      </c>
      <c r="C44" s="8" t="s">
        <v>14</v>
      </c>
      <c r="D44" s="7"/>
      <c r="F44" s="3" t="s">
        <v>5</v>
      </c>
      <c r="G44" t="s">
        <v>16</v>
      </c>
      <c r="I44" s="3" t="s">
        <v>5</v>
      </c>
      <c r="J44" t="s">
        <v>27</v>
      </c>
    </row>
    <row r="45" spans="1:11" x14ac:dyDescent="0.25">
      <c r="A45" t="str">
        <f>A41</f>
        <v>Not Admitted</v>
      </c>
      <c r="B45" s="5">
        <f>B41</f>
        <v>244</v>
      </c>
      <c r="C45" s="6">
        <f>C41</f>
        <v>0.47563352826510719</v>
      </c>
      <c r="F45" s="4" t="s">
        <v>17</v>
      </c>
      <c r="G45" s="5">
        <v>76</v>
      </c>
      <c r="I45" s="4" t="s">
        <v>25</v>
      </c>
      <c r="J45" s="5">
        <v>325</v>
      </c>
    </row>
    <row r="46" spans="1:11" x14ac:dyDescent="0.25">
      <c r="A46" t="str">
        <f>A40</f>
        <v>Admitted</v>
      </c>
      <c r="B46" s="5">
        <f>B40</f>
        <v>269</v>
      </c>
      <c r="C46" s="6">
        <f>C40</f>
        <v>0.52436647173489281</v>
      </c>
      <c r="F46" s="4" t="s">
        <v>18</v>
      </c>
      <c r="G46" s="5">
        <v>69</v>
      </c>
      <c r="I46" s="4" t="s">
        <v>26</v>
      </c>
      <c r="J46" s="5">
        <v>188</v>
      </c>
    </row>
    <row r="47" spans="1:11" x14ac:dyDescent="0.25">
      <c r="F47" s="4" t="s">
        <v>19</v>
      </c>
      <c r="G47" s="5">
        <v>64</v>
      </c>
      <c r="I47" s="4" t="s">
        <v>4</v>
      </c>
      <c r="J47" s="1">
        <v>513</v>
      </c>
    </row>
    <row r="48" spans="1:11" x14ac:dyDescent="0.25">
      <c r="F48" s="4" t="s">
        <v>20</v>
      </c>
      <c r="G48" s="5">
        <v>59</v>
      </c>
    </row>
    <row r="49" spans="6:12" x14ac:dyDescent="0.25">
      <c r="F49" s="4" t="s">
        <v>21</v>
      </c>
      <c r="G49" s="5">
        <v>58</v>
      </c>
      <c r="I49" s="3" t="s">
        <v>5</v>
      </c>
      <c r="J49" t="s">
        <v>38</v>
      </c>
      <c r="L49" s="3" t="s">
        <v>5</v>
      </c>
    </row>
    <row r="50" spans="6:12" x14ac:dyDescent="0.25">
      <c r="F50" s="4" t="s">
        <v>22</v>
      </c>
      <c r="G50" s="5">
        <v>66</v>
      </c>
      <c r="I50" s="4" t="s">
        <v>31</v>
      </c>
      <c r="J50" s="5">
        <v>4</v>
      </c>
      <c r="L50" s="4" t="s">
        <v>39</v>
      </c>
    </row>
    <row r="51" spans="6:12" x14ac:dyDescent="0.25">
      <c r="F51" s="4" t="s">
        <v>23</v>
      </c>
      <c r="G51" s="5">
        <v>67</v>
      </c>
      <c r="I51" s="4" t="s">
        <v>37</v>
      </c>
      <c r="J51" s="5">
        <v>5</v>
      </c>
      <c r="L51" s="4" t="s">
        <v>4</v>
      </c>
    </row>
    <row r="52" spans="6:12" x14ac:dyDescent="0.25">
      <c r="F52" s="4" t="s">
        <v>24</v>
      </c>
      <c r="G52" s="5">
        <v>54</v>
      </c>
      <c r="I52" s="4" t="s">
        <v>33</v>
      </c>
      <c r="J52" s="5">
        <v>9</v>
      </c>
    </row>
    <row r="53" spans="6:12" x14ac:dyDescent="0.25">
      <c r="F53" s="4" t="s">
        <v>4</v>
      </c>
      <c r="G53" s="1">
        <v>513</v>
      </c>
      <c r="I53" s="4" t="s">
        <v>36</v>
      </c>
      <c r="J53" s="5">
        <v>14</v>
      </c>
    </row>
    <row r="54" spans="6:12" x14ac:dyDescent="0.25">
      <c r="I54" s="4" t="s">
        <v>30</v>
      </c>
      <c r="J54" s="5">
        <v>14</v>
      </c>
    </row>
    <row r="55" spans="6:12" x14ac:dyDescent="0.25">
      <c r="I55" s="4" t="s">
        <v>35</v>
      </c>
      <c r="J55" s="5">
        <v>65</v>
      </c>
    </row>
    <row r="56" spans="6:12" x14ac:dyDescent="0.25">
      <c r="I56" s="4" t="s">
        <v>32</v>
      </c>
      <c r="J56" s="5">
        <v>103</v>
      </c>
    </row>
    <row r="57" spans="6:12" x14ac:dyDescent="0.25">
      <c r="I57" s="4" t="s">
        <v>34</v>
      </c>
      <c r="J57" s="5">
        <v>299</v>
      </c>
    </row>
    <row r="58" spans="6:12" x14ac:dyDescent="0.25">
      <c r="I58" s="4" t="s">
        <v>4</v>
      </c>
      <c r="J58" s="1">
        <v>513</v>
      </c>
    </row>
  </sheetData>
  <pageMargins left="0.7" right="0.7" top="0.75" bottom="0.75" header="0.3" footer="0.3"/>
  <pageSetup paperSize="9" orientation="portrait" r:id="rId1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34BE-0C17-4490-951D-78F38CC222DC}">
  <dimension ref="A1"/>
  <sheetViews>
    <sheetView workbookViewId="0"/>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B57EC-ACCB-4FDC-94D6-D50D5E01714F}">
  <dimension ref="E3"/>
  <sheetViews>
    <sheetView workbookViewId="0"/>
  </sheetViews>
  <sheetFormatPr defaultRowHeight="15" x14ac:dyDescent="0.25"/>
  <sheetData>
    <row r="3" spans="5:5" x14ac:dyDescent="0.25">
      <c r="E3" t="s">
        <v>10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B6BF3-BBBD-4606-BBAE-4D570C7F98AD}">
  <dimension ref="D18"/>
  <sheetViews>
    <sheetView workbookViewId="0"/>
  </sheetViews>
  <sheetFormatPr defaultRowHeight="15" x14ac:dyDescent="0.25"/>
  <sheetData>
    <row r="18" spans="4:4" x14ac:dyDescent="0.25">
      <c r="D18" t="s">
        <v>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98A96-48E0-44FD-B26D-C457BBB077A2}">
  <dimension ref="A1:M17"/>
  <sheetViews>
    <sheetView tabSelected="1" zoomScale="130" zoomScaleNormal="130" workbookViewId="0">
      <selection activeCell="N10" sqref="N10"/>
    </sheetView>
  </sheetViews>
  <sheetFormatPr defaultRowHeight="15" x14ac:dyDescent="0.25"/>
  <cols>
    <col min="6" max="6" width="9.140625" customWidth="1"/>
    <col min="13" max="13" width="9.42578125" customWidth="1"/>
  </cols>
  <sheetData>
    <row r="1" spans="1:13" x14ac:dyDescent="0.25">
      <c r="A1" s="2"/>
      <c r="B1" s="2"/>
      <c r="C1" s="2"/>
      <c r="D1" s="2"/>
      <c r="E1" s="2"/>
      <c r="F1" s="2"/>
      <c r="G1" s="2"/>
      <c r="H1" s="2"/>
      <c r="I1" s="2"/>
      <c r="J1" s="2"/>
      <c r="K1" s="2"/>
      <c r="L1" s="2"/>
      <c r="M1" s="2"/>
    </row>
    <row r="2" spans="1:13" x14ac:dyDescent="0.25">
      <c r="A2" s="2"/>
      <c r="B2" s="2"/>
      <c r="C2" s="2"/>
      <c r="D2" s="2"/>
      <c r="E2" s="2"/>
      <c r="F2" s="2"/>
      <c r="G2" s="2"/>
      <c r="H2" s="2"/>
      <c r="I2" s="2"/>
      <c r="J2" s="2"/>
      <c r="K2" s="2"/>
      <c r="L2" s="2"/>
      <c r="M2" s="2"/>
    </row>
    <row r="3" spans="1:13" x14ac:dyDescent="0.25">
      <c r="A3" s="2"/>
      <c r="B3" s="2"/>
      <c r="C3" s="2"/>
      <c r="D3" s="2"/>
      <c r="E3" s="2"/>
      <c r="F3" s="2"/>
      <c r="G3" s="2"/>
      <c r="H3" s="2"/>
      <c r="I3" s="2"/>
      <c r="J3" s="2"/>
      <c r="K3" s="2"/>
      <c r="L3" s="2"/>
      <c r="M3" s="2"/>
    </row>
    <row r="4" spans="1:13" x14ac:dyDescent="0.25">
      <c r="A4" s="2"/>
      <c r="B4" s="2"/>
      <c r="C4" s="2"/>
      <c r="D4" s="2"/>
      <c r="E4" s="2"/>
      <c r="F4" s="2"/>
      <c r="G4" s="2"/>
      <c r="H4" s="2"/>
      <c r="I4" s="2"/>
      <c r="J4" s="2"/>
      <c r="K4" s="2"/>
      <c r="L4" s="2"/>
      <c r="M4" s="2"/>
    </row>
    <row r="5" spans="1:13" x14ac:dyDescent="0.25">
      <c r="A5" s="2"/>
      <c r="B5" s="2"/>
      <c r="C5" s="2"/>
      <c r="D5" s="2"/>
      <c r="E5" s="2"/>
      <c r="F5" s="2"/>
      <c r="G5" s="2"/>
      <c r="H5" s="2"/>
      <c r="I5" s="2"/>
      <c r="J5" s="2"/>
      <c r="K5" s="2"/>
      <c r="L5" s="2"/>
      <c r="M5" s="2"/>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72DDED0-F421-40B7-842B-6A1EA935DF12}">
  <ds:schemaRefs/>
</ds:datastoreItem>
</file>

<file path=customXml/itemProps2.xml><?xml version="1.0" encoding="utf-8"?>
<ds:datastoreItem xmlns:ds="http://schemas.openxmlformats.org/officeDocument/2006/customXml" ds:itemID="{A814940F-C409-4DD3-B4AB-31C72E7F2879}">
  <ds:schemaRefs/>
</ds:datastoreItem>
</file>

<file path=customXml/itemProps3.xml><?xml version="1.0" encoding="utf-8"?>
<ds:datastoreItem xmlns:ds="http://schemas.openxmlformats.org/officeDocument/2006/customXml" ds:itemID="{515E4498-2413-471F-84F8-06D0D7A16AFE}">
  <ds:schemaRefs/>
</ds:datastoreItem>
</file>

<file path=customXml/itemProps4.xml><?xml version="1.0" encoding="utf-8"?>
<ds:datastoreItem xmlns:ds="http://schemas.openxmlformats.org/officeDocument/2006/customXml" ds:itemID="{8F562397-ABC4-44DC-98A7-F2CA431023F9}">
  <ds:schemaRefs/>
</ds:datastoreItem>
</file>

<file path=customXml/itemProps5.xml><?xml version="1.0" encoding="utf-8"?>
<ds:datastoreItem xmlns:ds="http://schemas.openxmlformats.org/officeDocument/2006/customXml" ds:itemID="{C44C464C-2151-4F0C-9C7D-A8A5EBB9CF8C}">
  <ds:schemaRefs/>
</ds:datastoreItem>
</file>

<file path=customXml/itemProps6.xml><?xml version="1.0" encoding="utf-8"?>
<ds:datastoreItem xmlns:ds="http://schemas.openxmlformats.org/officeDocument/2006/customXml" ds:itemID="{35E03D84-9C29-4CBA-B791-B3DCB887C7C6}">
  <ds:schemaRefs/>
</ds:datastoreItem>
</file>

<file path=customXml/itemProps7.xml><?xml version="1.0" encoding="utf-8"?>
<ds:datastoreItem xmlns:ds="http://schemas.openxmlformats.org/officeDocument/2006/customXml" ds:itemID="{E95E4F46-D9A1-44B8-B75C-76DCAD0C6249}">
  <ds:schemaRefs/>
</ds:datastoreItem>
</file>

<file path=customXml/itemProps8.xml><?xml version="1.0" encoding="utf-8"?>
<ds:datastoreItem xmlns:ds="http://schemas.openxmlformats.org/officeDocument/2006/customXml" ds:itemID="{9EF1643B-1040-4EBE-803D-FD8984A77470}">
  <ds:schemaRefs/>
</ds:datastoreItem>
</file>

<file path=customXml/itemProps9.xml><?xml version="1.0" encoding="utf-8"?>
<ds:datastoreItem xmlns:ds="http://schemas.openxmlformats.org/officeDocument/2006/customXml" ds:itemID="{1A1801C6-40FB-43CF-8EEC-FF776A0E581B}">
  <ds:schemaRefs>
    <ds:schemaRef ds:uri="http://schemas.microsoft.com/DataMashup"/>
  </ds:schemaRefs>
</ds:datastoreItem>
</file>

<file path=customXml/itemProps10.xml><?xml version="1.0" encoding="utf-8"?>
<ds:datastoreItem xmlns:ds="http://schemas.openxmlformats.org/officeDocument/2006/customXml" ds:itemID="{A4F7678E-FC4B-42DF-9CFA-749D5E8ED2B2}">
  <ds:schemaRefs/>
</ds:datastoreItem>
</file>

<file path=customXml/itemProps11.xml><?xml version="1.0" encoding="utf-8"?>
<ds:datastoreItem xmlns:ds="http://schemas.openxmlformats.org/officeDocument/2006/customXml" ds:itemID="{E60D8D50-8B3A-4B53-BDB6-92B431110BA3}">
  <ds:schemaRefs/>
</ds:datastoreItem>
</file>

<file path=customXml/itemProps12.xml><?xml version="1.0" encoding="utf-8"?>
<ds:datastoreItem xmlns:ds="http://schemas.openxmlformats.org/officeDocument/2006/customXml" ds:itemID="{5E10DE88-0F94-4923-9E20-D56CACD1C279}">
  <ds:schemaRefs/>
</ds:datastoreItem>
</file>

<file path=customXml/itemProps13.xml><?xml version="1.0" encoding="utf-8"?>
<ds:datastoreItem xmlns:ds="http://schemas.openxmlformats.org/officeDocument/2006/customXml" ds:itemID="{2563602B-4D6A-4A2D-B2F2-CF60E3F45569}">
  <ds:schemaRefs/>
</ds:datastoreItem>
</file>

<file path=customXml/itemProps14.xml><?xml version="1.0" encoding="utf-8"?>
<ds:datastoreItem xmlns:ds="http://schemas.openxmlformats.org/officeDocument/2006/customXml" ds:itemID="{F13FEBB1-4AE5-4745-BDA4-761434424E59}">
  <ds:schemaRefs/>
</ds:datastoreItem>
</file>

<file path=customXml/itemProps15.xml><?xml version="1.0" encoding="utf-8"?>
<ds:datastoreItem xmlns:ds="http://schemas.openxmlformats.org/officeDocument/2006/customXml" ds:itemID="{D4E7D47F-1175-4F52-B436-A246C9A9EB5B}">
  <ds:schemaRefs/>
</ds:datastoreItem>
</file>

<file path=customXml/itemProps16.xml><?xml version="1.0" encoding="utf-8"?>
<ds:datastoreItem xmlns:ds="http://schemas.openxmlformats.org/officeDocument/2006/customXml" ds:itemID="{69A258D0-D811-4539-B962-D9BAC00887F5}">
  <ds:schemaRefs/>
</ds:datastoreItem>
</file>

<file path=customXml/itemProps17.xml><?xml version="1.0" encoding="utf-8"?>
<ds:datastoreItem xmlns:ds="http://schemas.openxmlformats.org/officeDocument/2006/customXml" ds:itemID="{73609E33-E20C-4704-B577-9D3C7389C36E}">
  <ds:schemaRefs/>
</ds:datastoreItem>
</file>

<file path=customXml/itemProps18.xml><?xml version="1.0" encoding="utf-8"?>
<ds:datastoreItem xmlns:ds="http://schemas.openxmlformats.org/officeDocument/2006/customXml" ds:itemID="{705A9E26-EE08-49C6-A610-25C2E3E87B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AverageWittime daily trend</vt:lpstr>
      <vt:lpstr>Satisfaction Score daily trend</vt:lpstr>
      <vt:lpstr>Daily ER Visits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 Jadhav</dc:creator>
  <cp:lastModifiedBy>Pratik Jadhav</cp:lastModifiedBy>
  <dcterms:created xsi:type="dcterms:W3CDTF">2026-04-24T12:17:16Z</dcterms:created>
  <dcterms:modified xsi:type="dcterms:W3CDTF">2026-05-12T12:28:36Z</dcterms:modified>
</cp:coreProperties>
</file>